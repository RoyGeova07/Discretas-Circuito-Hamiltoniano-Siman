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sta de Sucursales" sheetId="1" state="visible" r:id="rId3"/>
    <sheet name="Bloques de Sucursales" sheetId="2" state="visible" r:id="rId4"/>
    <sheet name="Candidatos" sheetId="3" state="visible" r:id="rId5"/>
    <sheet name="Distancias de Farmacias Vecinas" sheetId="4" state="visible" r:id="rId6"/>
    <sheet name="Distancias de Candidatos" sheetId="5" state="visible" r:id="rId7"/>
    <sheet name="Candidatos Bloqu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<sst xmlns="http://schemas.openxmlformats.org/spreadsheetml/2006/main" count="802" uniqueCount="325">
  <si>
    <t xml:space="preserve"># de Tienda</t>
  </si>
  <si>
    <t xml:space="preserve">Nombre de Farmacia</t>
  </si>
  <si>
    <t xml:space="preserve">Dirección</t>
  </si>
  <si>
    <t xml:space="preserve">Hora de Apertura</t>
  </si>
  <si>
    <t xml:space="preserve">Hora de Cierre</t>
  </si>
  <si>
    <t xml:space="preserve">33 Calle Col Guillen</t>
  </si>
  <si>
    <t xml:space="preserve">33 calle Colonia Guillen,contiguo a Ferreteria y Maderera</t>
  </si>
  <si>
    <t xml:space="preserve">Barandillas</t>
  </si>
  <si>
    <t xml:space="preserve">Colonia Barandillas avenida Juan Pablo II, en 11 calle N.E.</t>
  </si>
  <si>
    <t xml:space="preserve">Boulevar Del Este 1</t>
  </si>
  <si>
    <t xml:space="preserve">Boulevar del este, 1ra calle, 10 y 11 Ave</t>
  </si>
  <si>
    <t xml:space="preserve">Col. La Aurora</t>
  </si>
  <si>
    <t xml:space="preserve">Col. La Aurora, 10 calle, 18 avenida S.E. 2ndo Anillo En Gasolinera TEXACO</t>
  </si>
  <si>
    <t xml:space="preserve">El Roble- Plaza Bogran</t>
  </si>
  <si>
    <t xml:space="preserve">Col. El Roble Prolongación Ave Junior 12 calle No 51.</t>
  </si>
  <si>
    <t xml:space="preserve">Plaza Carolina</t>
  </si>
  <si>
    <t xml:space="preserve">Boulevar Mackey, costado oeste de Residencial Nova, contiguo a Caobas Café</t>
  </si>
  <si>
    <t xml:space="preserve">Rancho El Coco</t>
  </si>
  <si>
    <t xml:space="preserve">Residencial Rancho El Coco, nor-oeste, carretera principal</t>
  </si>
  <si>
    <t xml:space="preserve">Santa Monica</t>
  </si>
  <si>
    <t xml:space="preserve">Santa Monica Rio Blanco, bulevar Del Norte,</t>
  </si>
  <si>
    <t xml:space="preserve">Simán 13 Calle - Ave. Juan Pablo 2do.</t>
  </si>
  <si>
    <t xml:space="preserve">Bo. Medina, 13 calle, ave. Juan Pablo 2do.</t>
  </si>
  <si>
    <t xml:space="preserve">Simán 20 Calle - A Una Cuadra De Pollo Gol</t>
  </si>
  <si>
    <t xml:space="preserve">Bo. Las Palmas, 20 calle, 10 ave. 1 cuadra abajo de Pollo Gool</t>
  </si>
  <si>
    <t xml:space="preserve">Simán 2Do Anillo</t>
  </si>
  <si>
    <t xml:space="preserve">Dirección Esquipulas 2, Segundo Anillo, Antes Del Puente De La entrada a Aldea El Carmen.</t>
  </si>
  <si>
    <t xml:space="preserve">Simán 3 Ave. - Centro SPS</t>
  </si>
  <si>
    <t xml:space="preserve">3 ave., 2-3 calle, S.o.</t>
  </si>
  <si>
    <t xml:space="preserve">Simán 4TA. Calle</t>
  </si>
  <si>
    <t xml:space="preserve">Bulevar Juan Pablo 2do. 4ta calle S.E.</t>
  </si>
  <si>
    <t xml:space="preserve">Simán Arenales</t>
  </si>
  <si>
    <t xml:space="preserve">Frente a bulevar del este, sector Arenales dentro de la Gasolinera TEXACO Arenales</t>
  </si>
  <si>
    <t xml:space="preserve">Simán Avenida Junior</t>
  </si>
  <si>
    <t xml:space="preserve">Ave. Juan Pablo II, Col. Las Flores 3 ave. N.e.</t>
  </si>
  <si>
    <t xml:space="preserve">Simán Bendaña - Dentro De Hospital Bendaña</t>
  </si>
  <si>
    <t xml:space="preserve">Simán Boulevard del norte</t>
  </si>
  <si>
    <t xml:space="preserve">19 calle frente a Wendys</t>
  </si>
  <si>
    <t xml:space="preserve">Simán Calpules</t>
  </si>
  <si>
    <t xml:space="preserve">27 calle, carretera a La Lima, sector N.e</t>
  </si>
  <si>
    <t xml:space="preserve">Simán Calpules 2</t>
  </si>
  <si>
    <t xml:space="preserve">27 calle, colonia Calpules de San Sebastián, Aldea Calpules, Plaza Jogar</t>
  </si>
  <si>
    <t xml:space="preserve">Simán Catarino</t>
  </si>
  <si>
    <t xml:space="preserve">Plaza Comercial Catarino Rivas, en el bulevar del mismo nombre, frente a la entrada principal del Hospital Mario Catarino Rivas.</t>
  </si>
  <si>
    <t xml:space="preserve">Simán Cemesa - Frente a clínica Cemesa</t>
  </si>
  <si>
    <t xml:space="preserve">Bulevar del sur 12 ave. 22 calle, Col. Prado Alto</t>
  </si>
  <si>
    <t xml:space="preserve">Simán Chamelecón</t>
  </si>
  <si>
    <t xml:space="preserve">Sector Chamelecón, Bo. El Centro</t>
  </si>
  <si>
    <t xml:space="preserve">Simán Circunvalación #01</t>
  </si>
  <si>
    <t xml:space="preserve">Bo. Río De Piedras, avenida circunvalación, 5 y 6 calle.</t>
  </si>
  <si>
    <t xml:space="preserve">Simán Circunvalación #02 - Plaza Moderna</t>
  </si>
  <si>
    <t xml:space="preserve">Ave. Circunvalación 7 calle N.O. Plaza Moderna.</t>
  </si>
  <si>
    <t xml:space="preserve">Simán City Mall #01 - SPS</t>
  </si>
  <si>
    <t xml:space="preserve">Colonia Las Mesetas, dentro del City Mall SPS</t>
  </si>
  <si>
    <t xml:space="preserve">Simán Colonial #01</t>
  </si>
  <si>
    <t xml:space="preserve">Adentro Supermercados Colonial 1</t>
  </si>
  <si>
    <t xml:space="preserve">Simán Colonial #02 - Blv. Del Norte</t>
  </si>
  <si>
    <t xml:space="preserve">Blv. Del Norte, Adentro Supermercados Colonial 2</t>
  </si>
  <si>
    <t xml:space="preserve">Simán Colonial #03 - Supermercado Colonial</t>
  </si>
  <si>
    <t xml:space="preserve">Col. San Fernando 1ra calle salida a Lima</t>
  </si>
  <si>
    <t xml:space="preserve">Simán Derma Sps</t>
  </si>
  <si>
    <t xml:space="preserve">El Pedregal, Blvr. Mario Catarino Rivas</t>
  </si>
  <si>
    <t xml:space="preserve">SIMÁN EL PEDREGAL</t>
  </si>
  <si>
    <t xml:space="preserve">El Pedregal, Bulevar José Peraza, contiguo a Academia Americana.</t>
  </si>
  <si>
    <t xml:space="preserve">Simán Express</t>
  </si>
  <si>
    <t xml:space="preserve">Avenida circunvalación, 11 ave., 14 calle, N.O., frente al Teatro José Francisco Saybe</t>
  </si>
  <si>
    <t xml:space="preserve">SIMAN GALERIAS DEL VALLE - MALL GALERIAS</t>
  </si>
  <si>
    <t xml:space="preserve">Col. Jardines Del Valle, bulevar Micheletti, Mall Galerias Del Valle, 2do Nivel.</t>
  </si>
  <si>
    <t xml:space="preserve">Simán Hiper Antorcha - Super. Walmart</t>
  </si>
  <si>
    <t xml:space="preserve">Bulevar Del Norte, al interior del Supermercado Walmart</t>
  </si>
  <si>
    <t xml:space="preserve">Simán Hospital Del Valle</t>
  </si>
  <si>
    <t xml:space="preserve">Frente a Condominios Médicos Del Hospital Del Valle</t>
  </si>
  <si>
    <t xml:space="preserve">Simán Ivihsa</t>
  </si>
  <si>
    <t xml:space="preserve">Centro Comercial IVIHSA, carretera a La Lima</t>
  </si>
  <si>
    <t xml:space="preserve">Simán Jardines - Contiguo a Denny's</t>
  </si>
  <si>
    <t xml:space="preserve">Col. Jardines Del Valle, calle a la UNAH-VS</t>
  </si>
  <si>
    <t xml:space="preserve">Simán Las Palmas - Frte. A Grupo Aire</t>
  </si>
  <si>
    <t xml:space="preserve">Bo. Las Palmas, 27 calle, 8 Ave, frente a Grupo Aire</t>
  </si>
  <si>
    <t xml:space="preserve">Simán Los Álamos</t>
  </si>
  <si>
    <t xml:space="preserve">Colonia Colvisula 19 y 20 calle, 2da ave. atrás de Extractores Fuentes, frente a carretera hacia Armenta.</t>
  </si>
  <si>
    <t xml:space="preserve">Simán Los Andes</t>
  </si>
  <si>
    <t xml:space="preserve">10 ave., 11-12 calle, Bo. Los Andes</t>
  </si>
  <si>
    <t xml:space="preserve">Simán Luisiana</t>
  </si>
  <si>
    <t xml:space="preserve">Gasolinera UNO Luisiana, carretera al Estadio Olímpico</t>
  </si>
  <si>
    <t xml:space="preserve">Simán Mall Altara</t>
  </si>
  <si>
    <t xml:space="preserve">2do Nivel Mall Altara, al par de Banco Atlantida</t>
  </si>
  <si>
    <t xml:space="preserve">SIMÁN MALL MULTIPLAZA</t>
  </si>
  <si>
    <t xml:space="preserve">Al interior del Mall Multi Plaza segundo nivel local 208.</t>
  </si>
  <si>
    <t xml:space="preserve">Simán Medina - Farmaplus</t>
  </si>
  <si>
    <t xml:space="preserve">6ave., 7 calle, Bo. Medina</t>
  </si>
  <si>
    <t xml:space="preserve">Simán Mega Mall</t>
  </si>
  <si>
    <t xml:space="preserve">Centro comercial Mega Mall, Segundo Nivel, Local # 280, contiguo al local del Banco Del País</t>
  </si>
  <si>
    <t xml:space="preserve">Simán Plaza Geo</t>
  </si>
  <si>
    <t xml:space="preserve">Bo. Paz Barahona, 13 calle 12 Ave S.O.</t>
  </si>
  <si>
    <t xml:space="preserve">Simán Plaza Isabella</t>
  </si>
  <si>
    <t xml:space="preserve">Ave. New Orleans y ave. Juan Pablo II S.O., Bo. La Guardia</t>
  </si>
  <si>
    <t xml:space="preserve">Simán Plaza Numa - Blv. Mackey</t>
  </si>
  <si>
    <t xml:space="preserve">Blv. Mackey, contiguo Entrada Res. Portofino</t>
  </si>
  <si>
    <t xml:space="preserve">SIMÁN PLAZA VICAY</t>
  </si>
  <si>
    <t xml:space="preserve">Sobre la 33 calle, sector El Polvorin, a la par de Transportes Scooby</t>
  </si>
  <si>
    <t xml:space="preserve">Simán Pradera</t>
  </si>
  <si>
    <t xml:space="preserve">Colonia Reparto Lempira, 27 calle , 7 y 8 Ave S.E., a 0.9 Km de la Central De Abastos</t>
  </si>
  <si>
    <t xml:space="preserve">Simán Río De Piedras - Frente Al Costillal</t>
  </si>
  <si>
    <t xml:space="preserve">18 ave. 8 calle, Barrio Río De Piedras</t>
  </si>
  <si>
    <t xml:space="preserve">SIMÁN SALAMANCA</t>
  </si>
  <si>
    <t xml:space="preserve">Carretera hacia A Aldea El Carmen frente a Residencial Salamanca</t>
  </si>
  <si>
    <t xml:space="preserve">Simán Salida a La Lima</t>
  </si>
  <si>
    <t xml:space="preserve">1ra Calle. salida a La Lima, a la par de Popeye´s frente a IPSA</t>
  </si>
  <si>
    <t xml:space="preserve">Simán Santa Martha</t>
  </si>
  <si>
    <t xml:space="preserve">Entrada a Lomas Del Carmen, Plaza Santa Martha entre Residencial Santa Isabel y Despensa Familiar</t>
  </si>
  <si>
    <t xml:space="preserve">Simán Stibys</t>
  </si>
  <si>
    <t xml:space="preserve">Residencial Los Medicos, sector Palenque, Casa Del Valle contiguo al Colegio Médico</t>
  </si>
  <si>
    <t xml:space="preserve">Simán Tara</t>
  </si>
  <si>
    <t xml:space="preserve">Bulevar Del Norte, salida A Cortés En Plantel De Gasolinera UNO, entrada a Colonia Tara</t>
  </si>
  <si>
    <t xml:space="preserve">Simán Trejo - Frente A Terravista Plaza</t>
  </si>
  <si>
    <t xml:space="preserve">Bo. Río De Piedra, 23 avenida 10 calle, contiguo a Plaza Terravista</t>
  </si>
  <si>
    <t xml:space="preserve">Simán Villas Mackey - Blv. Mackey</t>
  </si>
  <si>
    <t xml:space="preserve">Bulevar Villas Mackey, entrada a Res. Los Cedros</t>
  </si>
  <si>
    <t xml:space="preserve">Simán Zerón</t>
  </si>
  <si>
    <t xml:space="preserve">Col. Zerón, 21 ave. 7 calle B</t>
  </si>
  <si>
    <t xml:space="preserve">Simán Zip San Jose</t>
  </si>
  <si>
    <t xml:space="preserve">20 calle, 2do anillo periférico en Gasolinera TEXACO contiguo a Zip San José</t>
  </si>
  <si>
    <t xml:space="preserve">SPS JUCUTUMA</t>
  </si>
  <si>
    <t xml:space="preserve">Frente a Bosques De Jucutuma 1era y 2da Etapa, en Gasolinera TEXACO</t>
  </si>
  <si>
    <t xml:space="preserve">Super Simán - Barrio El Benque</t>
  </si>
  <si>
    <t xml:space="preserve">Bo. El Benque, 5 calle, 6 avenida S.O.</t>
  </si>
  <si>
    <t xml:space="preserve">Town Center</t>
  </si>
  <si>
    <t xml:space="preserve">BARRIO EL SAUCE, CALLE 1 AVENIDA 18, CARRETERA A LA LIMA, CENTRO COMERCIAL TOWN CENTER</t>
  </si>
  <si>
    <t xml:space="preserve">VILLA OLIMPICA</t>
  </si>
  <si>
    <t xml:space="preserve">Colonia Valle De Sula, 2do Anillo Sur, entre 29 y 30 calle, en Gasolinera TEXACO</t>
  </si>
  <si>
    <t xml:space="preserve">Bloque 1</t>
  </si>
  <si>
    <t xml:space="preserve">Bloque 2</t>
  </si>
  <si>
    <t xml:space="preserve">Bloque 3</t>
  </si>
  <si>
    <t xml:space="preserve"># de Farmacia</t>
  </si>
  <si>
    <t xml:space="preserve">Bloque 4</t>
  </si>
  <si>
    <t xml:space="preserve">Bloque 5</t>
  </si>
  <si>
    <t xml:space="preserve">Candidato A - Zona Norte</t>
  </si>
  <si>
    <t xml:space="preserve">Ubicacion</t>
  </si>
  <si>
    <t xml:space="preserve">Google Maps</t>
  </si>
  <si>
    <t xml:space="preserve">Sector La 105 Brigada</t>
  </si>
  <si>
    <t xml:space="preserve">105 Brigada</t>
  </si>
  <si>
    <t xml:space="preserve">Candidato B - Zona Sur</t>
  </si>
  <si>
    <t xml:space="preserve">Zona industrial, Sector el Polvorín</t>
  </si>
  <si>
    <t xml:space="preserve">Planta Bloques Nueva</t>
  </si>
  <si>
    <t xml:space="preserve">Candidato C - Zona Centro</t>
  </si>
  <si>
    <t xml:space="preserve">Barrio Los Andes, 21102 San Pedro Sula, Cortés, Honduras</t>
  </si>
  <si>
    <t xml:space="preserve">Barrio Los Andes</t>
  </si>
  <si>
    <t xml:space="preserve">#</t>
  </si>
  <si>
    <t xml:space="preserve">Nombre Siman</t>
  </si>
  <si>
    <t xml:space="preserve">Ubicacion - Google Maps</t>
  </si>
  <si>
    <t xml:space="preserve">Distancia Ida (km)</t>
  </si>
  <si>
    <t xml:space="preserve">Distancia Vuelta (km)</t>
  </si>
  <si>
    <t xml:space="preserve">Distancia Promedio (km)</t>
  </si>
  <si>
    <t xml:space="preserve">Simán • 33 Calle Col. Guillén</t>
  </si>
  <si>
    <t xml:space="preserve">Distancia Ida</t>
  </si>
  <si>
    <t xml:space="preserve">Distancia desde la sucursal principal hasta la sucursal vecina</t>
  </si>
  <si>
    <t xml:space="preserve">Distancia Vuelta</t>
  </si>
  <si>
    <t xml:space="preserve">Distancia desde la sucursal vecina hasta la sucursal principal</t>
  </si>
  <si>
    <t xml:space="preserve">Simán • Barandillas</t>
  </si>
  <si>
    <t xml:space="preserve">Simán • Bulevar del Este #1</t>
  </si>
  <si>
    <t xml:space="preserve">Simán • Texaco Aurora</t>
  </si>
  <si>
    <t xml:space="preserve">Simán • El Roble - Plaza Bográn</t>
  </si>
  <si>
    <t xml:space="preserve">Farmacia Simán • Plaza Carolina</t>
  </si>
  <si>
    <t xml:space="preserve">Siman Rancho el coco</t>
  </si>
  <si>
    <t xml:space="preserve">Simán • Plaza Prisma</t>
  </si>
  <si>
    <t xml:space="preserve">Simán • 13 Calle - Ave. Juan Pablo 2do.</t>
  </si>
  <si>
    <t xml:space="preserve">Simán • 20 Calle - a una Cuadra de Pollo Gol</t>
  </si>
  <si>
    <t xml:space="preserve">Simán • 2do Anillo</t>
  </si>
  <si>
    <t xml:space="preserve">Simán • 3 Ave. - Centro SPS</t>
  </si>
  <si>
    <t xml:space="preserve">Simán • 4ta. Calle - Blv. Juan Pablo II</t>
  </si>
  <si>
    <t xml:space="preserve">Simán • Texaco Arenales</t>
  </si>
  <si>
    <t xml:space="preserve">Simán • Avenida Junior</t>
  </si>
  <si>
    <t xml:space="preserve">Simán • Bendaña - Dentro de Hospital Bendaña</t>
  </si>
  <si>
    <t xml:space="preserve">Simán • Bulevar del Norte - Contiguo a Centro Cerámicas</t>
  </si>
  <si>
    <t xml:space="preserve">Simán • Calpules</t>
  </si>
  <si>
    <t xml:space="preserve">Plaza JOGAR</t>
  </si>
  <si>
    <t xml:space="preserve">Simán • Catarino</t>
  </si>
  <si>
    <t xml:space="preserve">Simán • Cemesa - Frente a Clínica Cemesa</t>
  </si>
  <si>
    <t xml:space="preserve">Simán • Chamelecón</t>
  </si>
  <si>
    <t xml:space="preserve">Esta sucursal será atendida mediante un mantenimiento sobre demanda.</t>
  </si>
  <si>
    <t xml:space="preserve">Simán • Circunvalación</t>
  </si>
  <si>
    <t xml:space="preserve">Simán • Plaza Moderna</t>
  </si>
  <si>
    <t xml:space="preserve">Simán • City Mall #01 - SPS</t>
  </si>
  <si>
    <t xml:space="preserve">Simán • Colonial #1</t>
  </si>
  <si>
    <t xml:space="preserve">Simán • Supermercado Colonial 02 - Blv. del Norte</t>
  </si>
  <si>
    <t xml:space="preserve">Simán • Dentro de Supermercado Colonial #3 Salida a la Lima</t>
  </si>
  <si>
    <t xml:space="preserve">Simán • El Pedregal</t>
  </si>
  <si>
    <t xml:space="preserve">Simán • Express</t>
  </si>
  <si>
    <t xml:space="preserve">Simán • Mall Galerías</t>
  </si>
  <si>
    <t xml:space="preserve">Simán • Supermercado Walmart</t>
  </si>
  <si>
    <t xml:space="preserve">Simán • Hospital del Valle</t>
  </si>
  <si>
    <t xml:space="preserve">Simán • Plaza Ivihsa</t>
  </si>
  <si>
    <t xml:space="preserve">Simán • Jardines - Contiguo a Denny's</t>
  </si>
  <si>
    <t xml:space="preserve">Simán • Las Palmas - Frente a Grupo Aire</t>
  </si>
  <si>
    <t xml:space="preserve">Simán • Los Álamos</t>
  </si>
  <si>
    <t xml:space="preserve">Simán • Los Andes</t>
  </si>
  <si>
    <t xml:space="preserve">Simán • Luisiana</t>
  </si>
  <si>
    <t xml:space="preserve">Simán • Altara</t>
  </si>
  <si>
    <t xml:space="preserve">Simán • Multiplaza</t>
  </si>
  <si>
    <t xml:space="preserve">Simán • Medina - Farmaplus</t>
  </si>
  <si>
    <t xml:space="preserve">Simán • Mega Mall</t>
  </si>
  <si>
    <t xml:space="preserve">Farmacia Simán • Plaza Geo Sur</t>
  </si>
  <si>
    <t xml:space="preserve">Simán • Plaza Isabella</t>
  </si>
  <si>
    <t xml:space="preserve">Simán • Plaza Numa - Blv. Mackay</t>
  </si>
  <si>
    <t xml:space="preserve">Simán • Plaza Vicay</t>
  </si>
  <si>
    <t xml:space="preserve">Simán • Pradera</t>
  </si>
  <si>
    <t xml:space="preserve">Simán • Río de Piedras</t>
  </si>
  <si>
    <t xml:space="preserve">Simán • Salamanca</t>
  </si>
  <si>
    <t xml:space="preserve">Simán • Salida a La Lima</t>
  </si>
  <si>
    <t xml:space="preserve">Simán • Plaza Santa Martha</t>
  </si>
  <si>
    <t xml:space="preserve">Simán • Stibys</t>
  </si>
  <si>
    <t xml:space="preserve">Simán • Tara</t>
  </si>
  <si>
    <t xml:space="preserve">Simán • Trejo - Frente a Terravista Plaza</t>
  </si>
  <si>
    <t xml:space="preserve">Simán • Blv. Mackay</t>
  </si>
  <si>
    <t xml:space="preserve">Simán • Zerón</t>
  </si>
  <si>
    <t xml:space="preserve">Simán • ZIP San José</t>
  </si>
  <si>
    <t xml:space="preserve">Simán • Jucutuma</t>
  </si>
  <si>
    <t xml:space="preserve">Súper Farmacia Simán</t>
  </si>
  <si>
    <t xml:space="preserve">Simán • Town Center</t>
  </si>
  <si>
    <t xml:space="preserve">Simán • Villa Olímpica</t>
  </si>
  <si>
    <t xml:space="preserve">Candidato</t>
  </si>
  <si>
    <t xml:space="preserve">Bloque</t>
  </si>
  <si>
    <t xml:space="preserve">Sucursal</t>
  </si>
  <si>
    <t xml:space="preserve">Suma Promedios</t>
  </si>
  <si>
    <t xml:space="preserve">A</t>
  </si>
  <si>
    <t xml:space="preserve">B</t>
  </si>
  <si>
    <t xml:space="preserve">C</t>
  </si>
  <si>
    <t xml:space="preserve">Distancia desde el candidato hasta la sucursal mas cercana del bloque</t>
  </si>
  <si>
    <t xml:space="preserve">Distancia desde la sucursal mas cercana del bloque hasta el candidato</t>
  </si>
  <si>
    <t xml:space="preserve">Recorridos por Bloque y Candidato — Distancias</t>
  </si>
  <si>
    <t xml:space="preserve">Recorrido</t>
  </si>
  <si>
    <t xml:space="preserve">Candidato A</t>
  </si>
  <si>
    <t xml:space="preserve">Candidato A → Town Center</t>
  </si>
  <si>
    <t xml:space="preserve">Town Center → Simán Santa Martha</t>
  </si>
  <si>
    <t xml:space="preserve">La distancia de ida de Town Center a Siman Santa Martha tiene uso restringido o calles privada</t>
  </si>
  <si>
    <t xml:space="preserve">Simán Santa Martha → Simán Ivihsa</t>
  </si>
  <si>
    <t xml:space="preserve">La distancia de vuelta de Siman Santa Martha a Siman Santa Ivihsa tiene uso restringido o calles privada</t>
  </si>
  <si>
    <t xml:space="preserve">Simán Ivihsa → Simán Calpules 2</t>
  </si>
  <si>
    <t xml:space="preserve">Simán Calpules 2 → Simán Calpules</t>
  </si>
  <si>
    <t xml:space="preserve">Simán Calpules → Simán Arenales</t>
  </si>
  <si>
    <t xml:space="preserve">Simán Arenales → Simán Pradera</t>
  </si>
  <si>
    <t xml:space="preserve">Simán Pradera → 33 Calle Col Guillen</t>
  </si>
  <si>
    <t xml:space="preserve">33 Calle Col Guillen → SIMÁN PLAZA VICAY</t>
  </si>
  <si>
    <t xml:space="preserve">SIMÁN PLAZA VICAY → Simán Luisiana</t>
  </si>
  <si>
    <t xml:space="preserve">Simán Luisiana → VILLA OLIMPICA</t>
  </si>
  <si>
    <t xml:space="preserve">VILLA OLIMPICA → Simán Zip San José</t>
  </si>
  <si>
    <t xml:space="preserve">Simán Zip San Jose → Candidato A</t>
  </si>
  <si>
    <t xml:space="preserve">Candidato A → Simán Express</t>
  </si>
  <si>
    <t xml:space="preserve">Simán Express → Simán Avenida Junior</t>
  </si>
  <si>
    <t xml:space="preserve">Simán Avenida Junior → Simán Boulevard del norte</t>
  </si>
  <si>
    <t xml:space="preserve">Simán Boulevard del norte → SIMAN GALERIAS DEL VALLE - MALL GALERIAS</t>
  </si>
  <si>
    <t xml:space="preserve">SIMAN GALERIAS DEL VALLE - MALL GALERIAS → Simán Jardines - Contiguo a Denny's</t>
  </si>
  <si>
    <t xml:space="preserve">Simán Jardines - Contiguo a Denny's → Rancho El Coco</t>
  </si>
  <si>
    <t xml:space="preserve">Rancho El Coco → Simán Catarino</t>
  </si>
  <si>
    <t xml:space="preserve">Simán Catarino → Simán Derma Sps</t>
  </si>
  <si>
    <t xml:space="preserve">Simán Derma Sps → SIMÁN EL PEDREGAL</t>
  </si>
  <si>
    <t xml:space="preserve">SIMÁN EL PEDREGAL → Simán Zerón</t>
  </si>
  <si>
    <t xml:space="preserve">Simán Zerón → Simán Circunvalación #02 - Plaza Moderna</t>
  </si>
  <si>
    <t xml:space="preserve">Simán Circunvalación #02 - Plaza Moderna → Simán Los Andes</t>
  </si>
  <si>
    <t xml:space="preserve">Simán Los Andes → Candidato A</t>
  </si>
  <si>
    <t xml:space="preserve">Candidato A → Barandillas</t>
  </si>
  <si>
    <t xml:space="preserve">Barandillas → Simán 2Do Anillo</t>
  </si>
  <si>
    <t xml:space="preserve">Simán 2Do Anillo → Simán Salida a La Lima</t>
  </si>
  <si>
    <t xml:space="preserve">Simán Salida a La Lima → Simán Mega Mall</t>
  </si>
  <si>
    <t xml:space="preserve">Simán Mega Mall → Simán 4TA. Calle</t>
  </si>
  <si>
    <t xml:space="preserve">Simán 4TA. Calle → Boulevar Del Este 1</t>
  </si>
  <si>
    <t xml:space="preserve">Boulevar Del Este 1 → Simán Colonial #03 - Supermercado Colonial</t>
  </si>
  <si>
    <t xml:space="preserve">Simán Colonial #03 - Supermercado Colonial → Col. La Aurora</t>
  </si>
  <si>
    <t xml:space="preserve">Col. La Aurora → Simán 20 Calle - A Una Cuadra De Pollo Gol</t>
  </si>
  <si>
    <t xml:space="preserve">Simán 20 Calle - A Una Cuadra De Pollo Gol → Simán Las Palmas - Frte. A Grupo Aire</t>
  </si>
  <si>
    <t xml:space="preserve">Simán Las Palmas - Frte. A Grupo Aire → Simán 13 Calle - Ave. Juan Pablo 2do.</t>
  </si>
  <si>
    <t xml:space="preserve">Simán 13 Calle - Ave. Juan Pablo 2do. → Simán Medina - Farmaplus</t>
  </si>
  <si>
    <t xml:space="preserve">Simán Medina - Farmaplus → Candidato A</t>
  </si>
  <si>
    <t xml:space="preserve">Candidato A → Simán Hiper Antorcha - Super. Walmart</t>
  </si>
  <si>
    <t xml:space="preserve">Simán Hiper Antorcha - Super. Walmart → El Roble- Plaza Bogran</t>
  </si>
  <si>
    <t xml:space="preserve">El Roble- Plaza Bogran → Simán Hospital Del Valle</t>
  </si>
  <si>
    <t xml:space="preserve">Simán Hospital Del Valle → Simán Stibys</t>
  </si>
  <si>
    <t xml:space="preserve">Simán Stibys → Simán Plaza Numa - Blv. Mackey</t>
  </si>
  <si>
    <t xml:space="preserve">Simán Plaza Numa - Blv. Mackey → Simán Villas Mackey - Blv. Mackey</t>
  </si>
  <si>
    <t xml:space="preserve">Simán Villas Mackey - Blv. Mackey → Plaza Carolina</t>
  </si>
  <si>
    <t xml:space="preserve">Plaza Carolina → Simán Mall Altara</t>
  </si>
  <si>
    <t xml:space="preserve">Simán Mall Altara → Simán Los Álamos</t>
  </si>
  <si>
    <t xml:space="preserve">Simán Los Álamos → Santa Monica</t>
  </si>
  <si>
    <t xml:space="preserve">Santa Monica → Simán Colonial #02 - Blv. Del Norte</t>
  </si>
  <si>
    <t xml:space="preserve">Simán Colonial #02 - Blv. Del Norte → Simán Tara</t>
  </si>
  <si>
    <t xml:space="preserve">Simán Tara → Candidato A</t>
  </si>
  <si>
    <t xml:space="preserve">Candidato A → Simán Colonial #01</t>
  </si>
  <si>
    <t xml:space="preserve">Simán Colonial #01 → Simán Circunvalación #01</t>
  </si>
  <si>
    <t xml:space="preserve">Simán Circunvalación #01 → Simán Trejo - Frente A Terravista Plaza</t>
  </si>
  <si>
    <t xml:space="preserve">Simán Trejo - Frente A Terravista Plaza → Simán Río De Piedras - Frente Al Costillal</t>
  </si>
  <si>
    <t xml:space="preserve">Simán Río De Piedras - Frente Al Costillal → Simán Bendaña - Dentro De Hospital Bendaña</t>
  </si>
  <si>
    <t xml:space="preserve">Simán Bendaña - Dentro De Hospital Bendaña → Simán City Mall #01 - SPS</t>
  </si>
  <si>
    <t xml:space="preserve">Simán City Mall #01 - SPS → SIMÁN MALL MULTIPLAZA</t>
  </si>
  <si>
    <t xml:space="preserve">SIMÁN MALL MULTIPLAZA → Simán Plaza Geo</t>
  </si>
  <si>
    <t xml:space="preserve">Simán Plaza Geo → Simán Cemesa - Frente a clínica Cemesa</t>
  </si>
  <si>
    <t xml:space="preserve">Simán Cemesa - Frente a clínica Cemesa → Simán Plaza Isabella</t>
  </si>
  <si>
    <t xml:space="preserve">Simán Plaza Isabella → Super Simán - Barrio El Benque</t>
  </si>
  <si>
    <t xml:space="preserve">Super Simán - Barrio El Benque → Simán 3 Ave. - Centro SPS</t>
  </si>
  <si>
    <t xml:space="preserve">Simán 3 Ave. - Centro SPS → Candidato A</t>
  </si>
  <si>
    <t xml:space="preserve">Candidato B</t>
  </si>
  <si>
    <t xml:space="preserve">Candidato B → 33 Calle Col Guillen</t>
  </si>
  <si>
    <t xml:space="preserve">Simán Zip San Jose → Town Center</t>
  </si>
  <si>
    <t xml:space="preserve">Simán Pradera → Candidato B</t>
  </si>
  <si>
    <t xml:space="preserve">Candidato B → Simán Avenida Junior</t>
  </si>
  <si>
    <t xml:space="preserve">Simán Los Andes → Simán Express</t>
  </si>
  <si>
    <t xml:space="preserve">Simán Express → Candidato B</t>
  </si>
  <si>
    <t xml:space="preserve">Candidato B → Simán Las Palmas - Frte. A Grupo Aire</t>
  </si>
  <si>
    <t xml:space="preserve">Simán Medina - Farmaplus → Barandillas</t>
  </si>
  <si>
    <t xml:space="preserve">Simán 20 Calle - A Una Cuadra De Pollo Gol → Candidato B</t>
  </si>
  <si>
    <t xml:space="preserve">Candidato B → Simán Hiper Antorcha - Super. Walmart</t>
  </si>
  <si>
    <t xml:space="preserve">Simán Tara → Candidato B</t>
  </si>
  <si>
    <t xml:space="preserve">Candidato B → Simán Cemesa - Frente a clínica Cemesa</t>
  </si>
  <si>
    <t xml:space="preserve">Simán 3 Ave. - Centro SPS → Simán Colonial #01</t>
  </si>
  <si>
    <t xml:space="preserve">Simán Plaza Geo → Candidato B</t>
  </si>
  <si>
    <t xml:space="preserve">Candidato C</t>
  </si>
  <si>
    <t xml:space="preserve">Candidato C → Town Center</t>
  </si>
  <si>
    <t xml:space="preserve">Simán Zip San Jose → Candidato C</t>
  </si>
  <si>
    <t xml:space="preserve">Candidato C → Simán Circunvalación #02 - Plaza Moderna</t>
  </si>
  <si>
    <t xml:space="preserve">Simán Zerón → Candidato C</t>
  </si>
  <si>
    <t xml:space="preserve">Candidato C → Barandillas</t>
  </si>
  <si>
    <t xml:space="preserve">Simán Medina - Farmaplus → Candidato C</t>
  </si>
  <si>
    <t xml:space="preserve">Candidato C → Simán Hiper Antorcha - Super. Walmart</t>
  </si>
  <si>
    <t xml:space="preserve">Simán Tara → Candidato C</t>
  </si>
  <si>
    <t xml:space="preserve">Candidato C → Simán Colonial #01</t>
  </si>
  <si>
    <t xml:space="preserve">Simán 3 Ave. - Centro SPS → Candidato 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</si>
</sst>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:ss"/>
    <numFmt numFmtId="166" formatCode="@"/>
    <numFmt numFmtId="167" formatCode="General"/>
    <numFmt numFmtId="168" formatCode="0.0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&quot;Aptos Narrow&quot;"/>
      <family val="0"/>
      <charset val="1"/>
    </font>
    <font>
      <u val="single"/>
      <sz val="10"/>
      <color theme="1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2"/>
      <color rgb="FF1F4E78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name val="Arial"/>
      <family val="2"/>
      <charset val="1"/>
    </font>
    <font>
      <sz val="10"/>
      <color rgb="FFFF0000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5997"/>
        <bgColor rgb="FFCFE2F3"/>
      </patternFill>
    </fill>
    <fill>
      <patternFill patternType="solid">
        <fgColor rgb="FFFFFFFF"/>
        <bgColor rgb="FFF6F8F9"/>
      </patternFill>
    </fill>
    <fill>
      <patternFill patternType="solid">
        <fgColor rgb="FFF6F8F9"/>
        <bgColor rgb="FFF2F2F2"/>
      </patternFill>
    </fill>
    <fill>
      <patternFill patternType="solid">
        <fgColor theme="8" tint="0.5997"/>
        <bgColor rgb="FFF7B4AE"/>
      </patternFill>
    </fill>
    <fill>
      <patternFill patternType="solid">
        <fgColor theme="4" tint="0.3997"/>
        <bgColor rgb="FFB3CEFB"/>
      </patternFill>
    </fill>
    <fill>
      <patternFill patternType="solid">
        <fgColor rgb="FFDCA3FF"/>
        <bgColor rgb="FFF7B4AE"/>
      </patternFill>
    </fill>
    <fill>
      <patternFill patternType="solid">
        <fgColor theme="4" tint="0.7998"/>
        <bgColor rgb="FFDDEBF7"/>
      </patternFill>
    </fill>
    <fill>
      <patternFill patternType="solid">
        <fgColor theme="5" tint="0.3997"/>
        <bgColor rgb="FFF7B4AE"/>
      </patternFill>
    </fill>
    <fill>
      <patternFill patternType="solid">
        <fgColor theme="7" tint="0.5997"/>
        <bgColor rgb="FFB3CEFB"/>
      </patternFill>
    </fill>
    <fill>
      <patternFill patternType="solid">
        <fgColor theme="5" tint="0.5997"/>
        <bgColor rgb="FFFFC599"/>
      </patternFill>
    </fill>
    <fill>
      <patternFill patternType="solid">
        <fgColor theme="6" tint="0.5997"/>
        <bgColor rgb="FFFCE5CD"/>
      </patternFill>
    </fill>
    <fill>
      <patternFill patternType="solid">
        <fgColor rgb="FFCFE2F3"/>
        <bgColor rgb="FFD9E7FD"/>
      </patternFill>
    </fill>
    <fill>
      <patternFill patternType="solid">
        <fgColor rgb="FFFCE5CD"/>
        <bgColor rgb="FFFCE4D6"/>
      </patternFill>
    </fill>
    <fill>
      <patternFill patternType="solid">
        <fgColor rgb="FFF4CCCC"/>
        <bgColor rgb="FFFFC599"/>
      </patternFill>
    </fill>
    <fill>
      <patternFill patternType="solid">
        <fgColor theme="0" tint="-0.05"/>
        <bgColor rgb="FFF6F8F9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E7FD"/>
      </patternFill>
    </fill>
    <fill>
      <patternFill patternType="solid">
        <fgColor rgb="FFFFF2CC"/>
        <bgColor rgb="FFFCE5CD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CE5CD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1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7" fillId="1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E5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FE2F3"/>
      <rgbColor rgb="FF993366"/>
      <rgbColor rgb="FFFFF2CC"/>
      <rgbColor rgb="FFDDEBF7"/>
      <rgbColor rgb="FF660066"/>
      <rgbColor rgb="FFF28E86"/>
      <rgbColor rgb="FF1155CC"/>
      <rgbColor rgb="FFB3CEFB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D9E7FD"/>
      <rgbColor rgb="FFE2EFDA"/>
      <rgbColor rgb="FFFDE49B"/>
      <rgbColor rgb="FF8EB6F8"/>
      <rgbColor rgb="FFF7B4AE"/>
      <rgbColor rgb="FFDCA3FF"/>
      <rgbColor rgb="FFFFC599"/>
      <rgbColor rgb="FF3366FF"/>
      <rgbColor rgb="FF33CCCC"/>
      <rgbColor rgb="FFF2F2F2"/>
      <rgbColor rgb="FFF4CCCC"/>
      <rgbColor rgb="FFF6F8F9"/>
      <rgbColor rgb="FFFF6600"/>
      <rgbColor rgb="FF595959"/>
      <rgbColor rgb="FFA6E4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9720</xdr:colOff>
      <xdr:row>16</xdr:row>
      <xdr:rowOff>17640</xdr:rowOff>
    </xdr:from>
    <xdr:to>
      <xdr:col>7</xdr:col>
      <xdr:colOff>2856240</xdr:colOff>
      <xdr:row>36</xdr:row>
      <xdr:rowOff>10440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9120600" y="2703600"/>
          <a:ext cx="3722400" cy="33267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357480</xdr:colOff>
      <xdr:row>9</xdr:row>
      <xdr:rowOff>42840</xdr:rowOff>
    </xdr:from>
    <xdr:to>
      <xdr:col>6</xdr:col>
      <xdr:colOff>5769360</xdr:colOff>
      <xdr:row>34</xdr:row>
      <xdr:rowOff>51480</xdr:rowOff>
    </xdr:to>
    <xdr:pic>
      <xdr:nvPicPr>
        <xdr:cNvPr id="1" name="Image 12" descr=""/>
        <xdr:cNvPicPr/>
      </xdr:nvPicPr>
      <xdr:blipFill>
        <a:blip r:embed="rId1"/>
        <a:stretch/>
      </xdr:blipFill>
      <xdr:spPr>
        <a:xfrm>
          <a:off x="10084320" y="1900080"/>
          <a:ext cx="5411880" cy="43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515880</xdr:colOff>
      <xdr:row>80</xdr:row>
      <xdr:rowOff>105840</xdr:rowOff>
    </xdr:from>
    <xdr:to>
      <xdr:col>6</xdr:col>
      <xdr:colOff>5639760</xdr:colOff>
      <xdr:row>103</xdr:row>
      <xdr:rowOff>161280</xdr:rowOff>
    </xdr:to>
    <xdr:pic>
      <xdr:nvPicPr>
        <xdr:cNvPr id="2" name="Image 13" descr=""/>
        <xdr:cNvPicPr/>
      </xdr:nvPicPr>
      <xdr:blipFill>
        <a:blip r:embed="rId2"/>
        <a:stretch/>
      </xdr:blipFill>
      <xdr:spPr>
        <a:xfrm>
          <a:off x="10242720" y="14603040"/>
          <a:ext cx="5123880" cy="426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2971440</xdr:colOff>
      <xdr:row>151</xdr:row>
      <xdr:rowOff>135000</xdr:rowOff>
    </xdr:from>
    <xdr:to>
      <xdr:col>9</xdr:col>
      <xdr:colOff>425520</xdr:colOff>
      <xdr:row>180</xdr:row>
      <xdr:rowOff>10080</xdr:rowOff>
    </xdr:to>
    <xdr:pic>
      <xdr:nvPicPr>
        <xdr:cNvPr id="3" name="Image 13" descr=""/>
        <xdr:cNvPicPr/>
      </xdr:nvPicPr>
      <xdr:blipFill>
        <a:blip r:embed="rId3"/>
        <a:stretch/>
      </xdr:blipFill>
      <xdr:spPr>
        <a:xfrm>
          <a:off x="12698280" y="27157320"/>
          <a:ext cx="4985280" cy="5199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105+Brigada/data=!4m2!3m1!19sChIJaWX_mz5bZo8RlKia7t3EtxM" TargetMode="External"/><Relationship Id="rId2" Type="http://schemas.openxmlformats.org/officeDocument/2006/relationships/hyperlink" Target="https://www.google.com/maps/place/Planta+Bloques+Nueva/data=!4m2!3m1!19sChIJ77bBUwBDZo8R24GMMcPfP3o" TargetMode="External"/><Relationship Id="rId3" Type="http://schemas.openxmlformats.org/officeDocument/2006/relationships/hyperlink" Target="https://www.google.com/maps/place/Barrio+Los+Andes/data=!4m2!3m1!19sChIJUxKnNWpbZo8RTeqy00Z2UZc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Sim&#225;n+&#8226;+33+Calle+Col.+Guill&#233;n/data=!4m2!3m1!19sChIJieBnRABDZo8RS4xo_Rs7IvE" TargetMode="External"/><Relationship Id="rId2" Type="http://schemas.openxmlformats.org/officeDocument/2006/relationships/hyperlink" Target="https://www.google.com/maps/place/Sim&#225;n+&#8226;+Barandillas/data=!4m2!3m1!19sChIJD62zzzBbZo8RAHdGDUD6QrE" TargetMode="External"/><Relationship Id="rId3" Type="http://schemas.openxmlformats.org/officeDocument/2006/relationships/hyperlink" Target="https://www.google.com/maps/place/Sim&#225;n+&#8226;+Bulevar+del+Este+%231/data=!4m2!3m1!19sChIJNa_rpmlbZo8RJV5Q-RnD9io" TargetMode="External"/><Relationship Id="rId4" Type="http://schemas.openxmlformats.org/officeDocument/2006/relationships/hyperlink" Target="https://www.google.com/maps/place/Sim&#225;n+&#8226;+Texaco+Aurora/data=!4m2!3m1!19sChIJ5Z53UwBFZo8RQyLhsCqLsoo" TargetMode="External"/><Relationship Id="rId5" Type="http://schemas.openxmlformats.org/officeDocument/2006/relationships/hyperlink" Target="https://www.google.com/maps/place/Sim&#225;n+&#8226;+El+Roble+-+Plaza+Bogr&#225;n/data=!4m2!3m1!19sChIJGSzi2ANFZo8RBrDv6JD_rpA" TargetMode="External"/><Relationship Id="rId6" Type="http://schemas.openxmlformats.org/officeDocument/2006/relationships/hyperlink" Target="https://www.google.com/maps/place/Farmacia+Sim&#225;n+&#8226;+Plaza+Carolina/data=!4m2!3m1!19sChIJhfpOEopbZo8RTihUnwDJSq0" TargetMode="External"/><Relationship Id="rId7" Type="http://schemas.openxmlformats.org/officeDocument/2006/relationships/hyperlink" Target="https://www.google.com/maps/place/Siman+Rancho+el+coco/data=!4m2!3m1!19sChIJIZvfYQBbZo8RTlm-tSwrUrg" TargetMode="External"/><Relationship Id="rId8" Type="http://schemas.openxmlformats.org/officeDocument/2006/relationships/hyperlink" Target="https://www.google.com/maps/place/Sim&#225;n+&#8226;+Plaza+Prisma/data=!4m2!3m1!19sChIJf6ibIgBFZo8RByeKQhrzJ9o" TargetMode="External"/><Relationship Id="rId9" Type="http://schemas.openxmlformats.org/officeDocument/2006/relationships/hyperlink" Target="https://www.google.com/maps/place/Sim&#225;n+&#8226;+13+Calle+-+Ave.+Juan+Pablo+2do./data=!4m2!3m1!19sChIJixqV41VbZo8Rt4GIA7-z7eo" TargetMode="External"/><Relationship Id="rId10" Type="http://schemas.openxmlformats.org/officeDocument/2006/relationships/hyperlink" Target="https://www.google.com/maps/place/Sim&#225;n+&#8226;+20+Calle+-+a+una+Cuadra+de+Pollo+Gol/data=!4m2!3m1!19sChIJx8-TT6lcZo8R12QNIIRmQXE" TargetMode="External"/><Relationship Id="rId11" Type="http://schemas.openxmlformats.org/officeDocument/2006/relationships/hyperlink" Target="https://www.google.com/maps/place/Sim&#225;n+&#8226;+2do+Anillo/data=!4m2!3m1!19sChIJC0neAQBFZo8RD3nmCXhk99k" TargetMode="External"/><Relationship Id="rId12" Type="http://schemas.openxmlformats.org/officeDocument/2006/relationships/hyperlink" Target="https://www.google.com/maps/place/Sim&#225;n+&#8226;+3+Ave.+-+Centro+SPS/data=!4m2!3m1!19sChIJP2AYxmFbZo8RX9aw4xj2Ccs" TargetMode="External"/><Relationship Id="rId13" Type="http://schemas.openxmlformats.org/officeDocument/2006/relationships/hyperlink" Target="https://www.google.com/maps/place/Sim&#225;n+&#8226;+4ta.+Calle+-+Blv.+Juan+Pablo+II/data=!4m2!3m1!19sChIJu33PuQFbZo8Rc9xHpZUfBGg" TargetMode="External"/><Relationship Id="rId14" Type="http://schemas.openxmlformats.org/officeDocument/2006/relationships/hyperlink" Target="https://www.google.com/maps/place/Sim&#225;n+&#8226;+Texaco+Arenales/data=!4m2!3m1!19sChIJRQxH6CJDZo8RFENwu5a9Nqg" TargetMode="External"/><Relationship Id="rId15" Type="http://schemas.openxmlformats.org/officeDocument/2006/relationships/hyperlink" Target="https://www.google.com/maps/place/Sim&#225;n+&#8226;+Avenida+Junior/data=!4m2!3m1!19sChIJp3KTxXJbZo8RrFjz_aemP30" TargetMode="External"/><Relationship Id="rId16" Type="http://schemas.openxmlformats.org/officeDocument/2006/relationships/hyperlink" Target="https://www.google.com/maps/place/Sim&#225;n+&#8226;+Benda&#241;a+-+Dentro+de+Hospital+Benda&#241;a/data=!4m2!3m1!19sChIJ7fdjUWRbZo8RA8yRjINmprs" TargetMode="External"/><Relationship Id="rId17" Type="http://schemas.openxmlformats.org/officeDocument/2006/relationships/hyperlink" Target="https://www.google.com/maps/place/Sim&#225;n+&#8226;+Bulevar+del+Norte+-+Contiguo+a+Centro+Cer&#225;micas/data=!4m2!3m1!19sChIJMQaZNZFbZo8RiE-dm37jNFQ" TargetMode="External"/><Relationship Id="rId18" Type="http://schemas.openxmlformats.org/officeDocument/2006/relationships/hyperlink" Target="https://www.google.com/maps/place/Sim&#225;n+&#8226;+Calpules/data=!4m2!3m1!19sChIJZZJuvHdDZo8RQUafYDFT4Tc" TargetMode="External"/><Relationship Id="rId19" Type="http://schemas.openxmlformats.org/officeDocument/2006/relationships/hyperlink" Target="https://www.google.com/maps/place/Plaza+JOGAR/data=!4m2!3m1!19sChIJnaWZTQBDZo8R1p3eORnAuq4" TargetMode="External"/><Relationship Id="rId20" Type="http://schemas.openxmlformats.org/officeDocument/2006/relationships/hyperlink" Target="https://www.google.com/maps/place/Sim&#225;n+&#8226;+Catarino/data=!4m2!3m1!19sChIJxR__kaBbZo8R_SSrshrEa70" TargetMode="External"/><Relationship Id="rId21" Type="http://schemas.openxmlformats.org/officeDocument/2006/relationships/hyperlink" Target="https://www.google.com/maps/place/Sim&#225;n+&#8226;+Cemesa+-+Frente+a+Cl&#237;nica+Cemesa/data=!4m2!3m1!19sChIJ1XKI755cZo8R-p1wrKtInJQ" TargetMode="External"/><Relationship Id="rId22" Type="http://schemas.openxmlformats.org/officeDocument/2006/relationships/hyperlink" Target="https://www.google.com/maps/place/Sim&#225;n+&#8226;+Chamelec&#243;n/data=!4m2!3m1!19sChIJXzypYTBdZo8RbhDjpq-y0R4" TargetMode="External"/><Relationship Id="rId23" Type="http://schemas.openxmlformats.org/officeDocument/2006/relationships/hyperlink" Target="https://www.google.com/maps/place/Sim&#225;n+&#8226;+Circunvalaci&#243;n/data=!4m2!3m1!19sChIJn_FUiGVbZo8RhlHY2I1TiLo" TargetMode="External"/><Relationship Id="rId24" Type="http://schemas.openxmlformats.org/officeDocument/2006/relationships/hyperlink" Target="https://www.google.com/maps/place/Sim&#225;n+&#8226;+Plaza+Moderna/data=!4m2!3m1!19sChIJ_VCOPZ9bZo8R77-Gb8d7v3g" TargetMode="External"/><Relationship Id="rId25" Type="http://schemas.openxmlformats.org/officeDocument/2006/relationships/hyperlink" Target="https://www.google.com/maps/place/Sim&#225;n+&#8226;+City+Mall+%2301+-+SPS/data=!4m2!3m1!19sChIJR3Jblb5bZo8RcR8J2mMzpCg" TargetMode="External"/><Relationship Id="rId26" Type="http://schemas.openxmlformats.org/officeDocument/2006/relationships/hyperlink" Target="https://www.google.com/maps/place/Sim&#225;n+&#8226;+Colonial+%231/data=!4m2!3m1!19sChIJCzL1tUdbZo8RVcxldgcAQaI" TargetMode="External"/><Relationship Id="rId27" Type="http://schemas.openxmlformats.org/officeDocument/2006/relationships/hyperlink" Target="https://www.google.com/maps/place/Sim&#225;n+&#8226;+Supermercado+Colonial+02+-+Blv.+del+Norte/data=!4m2!3m1!19sChIJ-6iOmSFFZo8Rt0RQ3tf7XqY" TargetMode="External"/><Relationship Id="rId28" Type="http://schemas.openxmlformats.org/officeDocument/2006/relationships/hyperlink" Target="https://www.google.com/maps/place/Sim&#225;n+&#8226;+Dentro+de+Supermercado+Colonial+%233+Salida+a+la+Lima/data=!4m2!3m1!19sChIJfVTO6spFZo8Ri8LBCkJEGMg" TargetMode="External"/><Relationship Id="rId29" Type="http://schemas.openxmlformats.org/officeDocument/2006/relationships/hyperlink" Target="https://www.google.com/maps/place/Sim&#225;n+&#8226;+El+Pedregal/data=!4m2!3m1!19sChIJmaYRKhFbZo8RHKVFrchOp9g" TargetMode="External"/><Relationship Id="rId30" Type="http://schemas.openxmlformats.org/officeDocument/2006/relationships/hyperlink" Target="https://www.google.com/maps/place/Sim&#225;n+&#8226;+El+Pedregal/data=!4m2!3m1!19sChIJmaYRKhFbZo8RHKVFrchOp9g" TargetMode="External"/><Relationship Id="rId31" Type="http://schemas.openxmlformats.org/officeDocument/2006/relationships/hyperlink" Target="https://www.google.com/maps/place/Sim&#225;n+&#8226;+Express/data=!4m2!3m1!19sChIJy6uCYRtbZo8Rr_E9hzFXKAo" TargetMode="External"/><Relationship Id="rId32" Type="http://schemas.openxmlformats.org/officeDocument/2006/relationships/hyperlink" Target="https://www.google.com/maps/place/Sim&#225;n+&#8226;+Mall+Galer&#237;as/data=!4m2!3m1!19sChIJPWwaN3VbZo8RXgenCTNhfDU" TargetMode="External"/><Relationship Id="rId33" Type="http://schemas.openxmlformats.org/officeDocument/2006/relationships/hyperlink" Target="https://www.google.com/maps/place/Sim&#225;n+&#8226;+Supermercado+Walmart/data=!4m2!3m1!19sChIJpdUAiZ5bZo8Rjal0qi2TzsU" TargetMode="External"/><Relationship Id="rId34" Type="http://schemas.openxmlformats.org/officeDocument/2006/relationships/hyperlink" Target="https://www.google.com/maps/place/Sim&#225;n+&#8226;+Hospital+del+Valle/data=!4m2!3m1!19sChIJ8a1obSpbZo8RAmGvdskLhwU" TargetMode="External"/><Relationship Id="rId35" Type="http://schemas.openxmlformats.org/officeDocument/2006/relationships/hyperlink" Target="https://www.google.com/maps/place/Sim&#225;n+&#8226;+Plaza+Ivihsa/data=!4m2!3m1!19sChIJP8gIBQBFZo8RjprJ5DBrX0w" TargetMode="External"/><Relationship Id="rId36" Type="http://schemas.openxmlformats.org/officeDocument/2006/relationships/hyperlink" Target="https://www.google.com/maps/place/Sim&#225;n+&#8226;+Jardines+-+Contiguo+a+Denny&apos;s/data=!4m2!3m1!19sChIJ8TZggCNbZo8RwUfvjWqYD_I" TargetMode="External"/><Relationship Id="rId37" Type="http://schemas.openxmlformats.org/officeDocument/2006/relationships/hyperlink" Target="https://www.google.com/maps/place/Sim&#225;n+&#8226;+Las+Palmas+-+Frente+a+Grupo+Aire/data=!4m2!3m1!19sChIJbxPbFO1dZo8R-zpQRm8maP4" TargetMode="External"/><Relationship Id="rId38" Type="http://schemas.openxmlformats.org/officeDocument/2006/relationships/hyperlink" Target="https://www.google.com/maps/place/Sim&#225;n+&#8226;+Los+&#193;lamos/data=!4m2!3m1!19sChIJQYFlESJFZo8Ra2LI6DZJwYY" TargetMode="External"/><Relationship Id="rId39" Type="http://schemas.openxmlformats.org/officeDocument/2006/relationships/hyperlink" Target="https://www.google.com/maps/place/Sim&#225;n+&#8226;+Los+Andes/data=!4m2!3m1!19sChIJq1RBZT9bZo8RexaiwSbcyLU" TargetMode="External"/><Relationship Id="rId40" Type="http://schemas.openxmlformats.org/officeDocument/2006/relationships/hyperlink" Target="https://www.google.com/maps/place/Sim&#225;n+&#8226;+Luisiana/data=!4m2!3m1!19sChIJG_LSSEZDZo8Rt-3Cyj6Q5nw" TargetMode="External"/><Relationship Id="rId41" Type="http://schemas.openxmlformats.org/officeDocument/2006/relationships/hyperlink" Target="https://www.google.com/maps/place/Sim&#225;n+&#8226;+Altara/data=!4m2!3m1!19sChIJ28ctAbhaZo8R8gAppnpmYEw" TargetMode="External"/><Relationship Id="rId42" Type="http://schemas.openxmlformats.org/officeDocument/2006/relationships/hyperlink" Target="https://www.google.com/maps/place/Sim&#225;n+&#8226;+Multiplaza/data=!4m2!3m1!19sChIJjykA3C5bZo8Rq0rvKBycRx0" TargetMode="External"/><Relationship Id="rId43" Type="http://schemas.openxmlformats.org/officeDocument/2006/relationships/hyperlink" Target="https://www.google.com/maps/place/Sim&#225;n+&#8226;+Medina+-+Farmaplus/data=!4m2!3m1!19sChIJO7M8hV5bZo8RnGOKJuWou94" TargetMode="External"/><Relationship Id="rId44" Type="http://schemas.openxmlformats.org/officeDocument/2006/relationships/hyperlink" Target="https://www.google.com/maps/place/Sim&#225;n+&#8226;+Mega+Mall/data=!4m2!3m1!19sChIJy0-74LFEZo8RVeR2QYdeaPo" TargetMode="External"/><Relationship Id="rId45" Type="http://schemas.openxmlformats.org/officeDocument/2006/relationships/hyperlink" Target="https://www.google.com/maps/place/Farmacia+Sim&#225;n+&#8226;+Plaza+Geo+Sur/data=!4m2!3m1!19sChIJXXyH5GBbZo8R1cXTKRnJSKU" TargetMode="External"/><Relationship Id="rId46" Type="http://schemas.openxmlformats.org/officeDocument/2006/relationships/hyperlink" Target="https://www.google.com/maps/place/Sim&#225;n+&#8226;+Plaza+Isabella/data=!4m2!3m1!19sChIJ_ZeVRqdcZo8Re5CkeJRW0wE" TargetMode="External"/><Relationship Id="rId47" Type="http://schemas.openxmlformats.org/officeDocument/2006/relationships/hyperlink" Target="https://www.google.com/maps/place/Sim&#225;n+&#8226;+Plaza+Numa+-+Blv.+Mackay/data=!4m2!3m1!19sChIJU911i-pbZo8RWmSIOcq1bQo" TargetMode="External"/><Relationship Id="rId48" Type="http://schemas.openxmlformats.org/officeDocument/2006/relationships/hyperlink" Target="https://www.google.com/maps/place/Sim&#225;n+&#8226;+Plaza+Vicay/data=!4m2!3m1!19sChIJFT98ltpDZo8RZY1EEhlm4ns" TargetMode="External"/><Relationship Id="rId49" Type="http://schemas.openxmlformats.org/officeDocument/2006/relationships/hyperlink" Target="https://www.google.com/maps/place/Sim&#225;n+&#8226;+Pradera/data=!4m2!3m1!19sChIJbTfnKEJDZo8REdL_9bRJJnc" TargetMode="External"/><Relationship Id="rId50" Type="http://schemas.openxmlformats.org/officeDocument/2006/relationships/hyperlink" Target="https://www.google.com/maps/place/Sim&#225;n+&#8226;+R&#237;o+de+Piedras/data=!4m2!3m1!19sChIJP8sXDGVbZo8RHobPgwOpAuQ" TargetMode="External"/><Relationship Id="rId51" Type="http://schemas.openxmlformats.org/officeDocument/2006/relationships/hyperlink" Target="https://www.google.com/maps/place/Sim&#225;n+&#8226;+Salamanca/data=!4m2!3m1!19sChIJbYBDoHFFZo8RznD_k2zP4As" TargetMode="External"/><Relationship Id="rId52" Type="http://schemas.openxmlformats.org/officeDocument/2006/relationships/hyperlink" Target="https://www.google.com/maps/place/Sim&#225;n+&#8226;+Salida+a+La+Lima/data=!4m2!3m1!19sChIJ9dEXnrJEZo8R4J1EXuwv1lk" TargetMode="External"/><Relationship Id="rId53" Type="http://schemas.openxmlformats.org/officeDocument/2006/relationships/hyperlink" Target="https://www.google.com/maps/place/Sim&#225;n+&#8226;+Plaza+Santa+Martha/data=!4m2!3m1!19sChIJn52CAylFZo8RluReuvXMLns" TargetMode="External"/><Relationship Id="rId54" Type="http://schemas.openxmlformats.org/officeDocument/2006/relationships/hyperlink" Target="https://www.google.com/maps/place/Sim&#225;n+&#8226;+Stibys/data=!4m2!3m1!19sChIJWRt_YEdbZo8RSgvOGdKGIWk" TargetMode="External"/><Relationship Id="rId55" Type="http://schemas.openxmlformats.org/officeDocument/2006/relationships/hyperlink" Target="https://www.google.com/maps/place/Sim&#225;n+&#8226;+Tara/data=!4m2!3m1!19sChIJ71TLedNaZo8RtpMY0498I94" TargetMode="External"/><Relationship Id="rId56" Type="http://schemas.openxmlformats.org/officeDocument/2006/relationships/hyperlink" Target="https://www.google.com/maps/place/Sim&#225;n+&#8226;+Trejo+-+Frente+a+Terravista+Plaza/data=!4m2!3m1!19sChIJI3nbsQNbZo8RBIXuZkMpq_k" TargetMode="External"/><Relationship Id="rId57" Type="http://schemas.openxmlformats.org/officeDocument/2006/relationships/hyperlink" Target="https://www.google.com/maps/place/Sim&#225;n+&#8226;+Blv.+Mackay/data=!4m2!3m1!19sChIJF_NhC-ZaZo8RzfA0U7Y3TsI" TargetMode="External"/><Relationship Id="rId58" Type="http://schemas.openxmlformats.org/officeDocument/2006/relationships/hyperlink" Target="https://www.google.com/maps/place/Sim&#225;n+&#8226;+Zer&#243;n/data=!4m2!3m1!19sChIJ4Zf-QG1bZo8Ro7w0gwVrIyk" TargetMode="External"/><Relationship Id="rId59" Type="http://schemas.openxmlformats.org/officeDocument/2006/relationships/hyperlink" Target="https://www.google.com/maps/place/Sim&#225;n+&#8226;+ZIP+San+Jos&#233;/data=!4m2!3m1!19sChIJS2agEKJDZo8RCOkwOqMOpdA" TargetMode="External"/><Relationship Id="rId60" Type="http://schemas.openxmlformats.org/officeDocument/2006/relationships/hyperlink" Target="https://www.google.com/maps/place/Sim&#225;n+&#8226;+Jucutuma/data=!4m2!3m1!19sChIJ_ycbq15HZo8RIPOYgsFYiCA" TargetMode="External"/><Relationship Id="rId61" Type="http://schemas.openxmlformats.org/officeDocument/2006/relationships/hyperlink" Target="https://www.google.com/maps/place/S&#250;per+Farmacia+Sim&#225;n/data=!4m2!3m1!19sChIJA2bOr1xbZo8RUzMpjV5wrf0" TargetMode="External"/><Relationship Id="rId62" Type="http://schemas.openxmlformats.org/officeDocument/2006/relationships/hyperlink" Target="https://www.google.com/maps/place/Sim&#225;n+&#8226;+Town+Center/data=!4m2!3m1!19sChIJwWFYmqZFZo8RLeJXSrB8J-Y" TargetMode="External"/><Relationship Id="rId63" Type="http://schemas.openxmlformats.org/officeDocument/2006/relationships/hyperlink" Target="https://www.google.com/maps/place/Sim&#225;n+&#8226;+Villa+Ol&#237;mpica/data=!4m2!3m1!19sChIJmfS9h6ZDZo8R0s99bjvOWmI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44"/>
    <col collapsed="false" customWidth="true" hidden="false" outlineLevel="0" max="3" min="3" style="0" width="106.57"/>
    <col collapsed="false" customWidth="true" hidden="false" outlineLevel="0" max="4" min="4" style="0" width="23.71"/>
    <col collapsed="false" customWidth="true" hidden="false" outlineLevel="0" max="5" min="5" style="0" width="21.43"/>
    <col collapsed="false" customWidth="true" hidden="false" outlineLevel="0" max="7" min="7" style="0" width="9.71"/>
    <col collapsed="false" customWidth="true" hidden="false" outlineLevel="0" max="8" min="8" style="0" width="44"/>
    <col collapsed="false" customWidth="true" hidden="false" outlineLevel="0" max="9" min="9" style="0" width="51.15"/>
    <col collapsed="false" customWidth="true" hidden="false" outlineLevel="0" max="10" min="10" style="0" width="24"/>
    <col collapsed="false" customWidth="true" hidden="false" outlineLevel="0" max="11" min="11" style="0" width="21.14"/>
    <col collapsed="false" customWidth="true" hidden="false" outlineLevel="0" max="12" min="12" style="0" width="22.57"/>
    <col collapsed="false" customWidth="true" hidden="false" outlineLevel="0" max="15" min="14" style="0" width="13.29"/>
    <col collapsed="false" customWidth="true" hidden="false" outlineLevel="0" max="16" min="16" style="0" width="14.42"/>
    <col collapsed="false" customWidth="true" hidden="false" outlineLevel="0" max="17" min="17" style="0" width="13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.75" hidden="false" customHeight="true" outlineLevel="0" collapsed="false">
      <c r="A2" s="4" t="n">
        <v>1</v>
      </c>
      <c r="B2" s="5" t="s">
        <v>5</v>
      </c>
      <c r="C2" s="5" t="s">
        <v>6</v>
      </c>
      <c r="D2" s="6" t="n">
        <v>0.291666666666667</v>
      </c>
      <c r="E2" s="7" t="n">
        <v>0.916666666666667</v>
      </c>
    </row>
    <row r="3" customFormat="false" ht="15.75" hidden="false" customHeight="true" outlineLevel="0" collapsed="false">
      <c r="A3" s="8" t="n">
        <v>2</v>
      </c>
      <c r="B3" s="9" t="s">
        <v>7</v>
      </c>
      <c r="C3" s="9" t="s">
        <v>8</v>
      </c>
      <c r="D3" s="10" t="n">
        <v>0.291666666666667</v>
      </c>
      <c r="E3" s="11" t="n">
        <v>0.916666666666667</v>
      </c>
    </row>
    <row r="4" customFormat="false" ht="15.75" hidden="false" customHeight="true" outlineLevel="0" collapsed="false">
      <c r="A4" s="12" t="n">
        <v>3</v>
      </c>
      <c r="B4" s="13" t="s">
        <v>9</v>
      </c>
      <c r="C4" s="13" t="s">
        <v>10</v>
      </c>
      <c r="D4" s="14" t="n">
        <v>0.291666666666667</v>
      </c>
      <c r="E4" s="15" t="n">
        <v>0.916666666666667</v>
      </c>
    </row>
    <row r="5" customFormat="false" ht="15.75" hidden="false" customHeight="true" outlineLevel="0" collapsed="false">
      <c r="A5" s="8" t="n">
        <v>4</v>
      </c>
      <c r="B5" s="9" t="s">
        <v>11</v>
      </c>
      <c r="C5" s="9" t="s">
        <v>12</v>
      </c>
      <c r="D5" s="10" t="n">
        <v>0.291666666666667</v>
      </c>
      <c r="E5" s="11" t="n">
        <v>0.916666666666667</v>
      </c>
    </row>
    <row r="6" customFormat="false" ht="15.75" hidden="false" customHeight="true" outlineLevel="0" collapsed="false">
      <c r="A6" s="12" t="n">
        <v>5</v>
      </c>
      <c r="B6" s="13" t="s">
        <v>13</v>
      </c>
      <c r="C6" s="13" t="s">
        <v>14</v>
      </c>
      <c r="D6" s="14" t="n">
        <v>0.291666666666667</v>
      </c>
      <c r="E6" s="15" t="n">
        <v>0.916666666666667</v>
      </c>
    </row>
    <row r="7" customFormat="false" ht="15.75" hidden="false" customHeight="true" outlineLevel="0" collapsed="false">
      <c r="A7" s="8" t="n">
        <v>6</v>
      </c>
      <c r="B7" s="9" t="s">
        <v>15</v>
      </c>
      <c r="C7" s="9" t="s">
        <v>16</v>
      </c>
      <c r="D7" s="10" t="n">
        <v>0.291666666666667</v>
      </c>
      <c r="E7" s="11" t="n">
        <v>0.916666666666667</v>
      </c>
    </row>
    <row r="8" customFormat="false" ht="15.75" hidden="false" customHeight="true" outlineLevel="0" collapsed="false">
      <c r="A8" s="12" t="n">
        <v>7</v>
      </c>
      <c r="B8" s="13" t="s">
        <v>17</v>
      </c>
      <c r="C8" s="13" t="s">
        <v>18</v>
      </c>
      <c r="D8" s="14" t="n">
        <v>0.291666666666667</v>
      </c>
      <c r="E8" s="15" t="n">
        <v>0.833333333333333</v>
      </c>
    </row>
    <row r="9" customFormat="false" ht="15.75" hidden="false" customHeight="true" outlineLevel="0" collapsed="false">
      <c r="A9" s="8" t="n">
        <v>8</v>
      </c>
      <c r="B9" s="9" t="s">
        <v>19</v>
      </c>
      <c r="C9" s="9" t="s">
        <v>20</v>
      </c>
      <c r="D9" s="10" t="n">
        <v>0.291666666666667</v>
      </c>
      <c r="E9" s="11" t="n">
        <v>0.916666666666667</v>
      </c>
    </row>
    <row r="10" customFormat="false" ht="15.75" hidden="false" customHeight="true" outlineLevel="0" collapsed="false">
      <c r="A10" s="12" t="n">
        <v>9</v>
      </c>
      <c r="B10" s="13" t="s">
        <v>21</v>
      </c>
      <c r="C10" s="13" t="s">
        <v>22</v>
      </c>
      <c r="D10" s="14" t="n">
        <v>0.291666666666667</v>
      </c>
      <c r="E10" s="15" t="n">
        <v>0.916666666666667</v>
      </c>
    </row>
    <row r="11" customFormat="false" ht="15.75" hidden="false" customHeight="true" outlineLevel="0" collapsed="false">
      <c r="A11" s="8" t="n">
        <v>10</v>
      </c>
      <c r="B11" s="9" t="s">
        <v>23</v>
      </c>
      <c r="C11" s="9" t="s">
        <v>24</v>
      </c>
      <c r="D11" s="10" t="n">
        <v>0.291666666666667</v>
      </c>
      <c r="E11" s="11" t="n">
        <v>0.916666666666667</v>
      </c>
    </row>
    <row r="12" customFormat="false" ht="15.75" hidden="false" customHeight="true" outlineLevel="0" collapsed="false">
      <c r="A12" s="12" t="n">
        <v>11</v>
      </c>
      <c r="B12" s="13" t="s">
        <v>25</v>
      </c>
      <c r="C12" s="13" t="s">
        <v>26</v>
      </c>
      <c r="D12" s="14" t="n">
        <v>0.291666666666667</v>
      </c>
      <c r="E12" s="15" t="n">
        <v>0.916666666666667</v>
      </c>
    </row>
    <row r="13" customFormat="false" ht="15.75" hidden="false" customHeight="true" outlineLevel="0" collapsed="false">
      <c r="A13" s="8" t="n">
        <v>12</v>
      </c>
      <c r="B13" s="9" t="s">
        <v>27</v>
      </c>
      <c r="C13" s="9" t="s">
        <v>28</v>
      </c>
      <c r="D13" s="10" t="n">
        <v>0.291666666666667</v>
      </c>
      <c r="E13" s="11" t="n">
        <v>0.75</v>
      </c>
    </row>
    <row r="14" customFormat="false" ht="15.75" hidden="false" customHeight="true" outlineLevel="0" collapsed="false">
      <c r="A14" s="12" t="n">
        <v>13</v>
      </c>
      <c r="B14" s="13" t="s">
        <v>29</v>
      </c>
      <c r="C14" s="13" t="s">
        <v>30</v>
      </c>
      <c r="D14" s="14" t="n">
        <v>0.291666666666667</v>
      </c>
      <c r="E14" s="15" t="n">
        <v>0.916666666666667</v>
      </c>
    </row>
    <row r="15" customFormat="false" ht="15.75" hidden="false" customHeight="true" outlineLevel="0" collapsed="false">
      <c r="A15" s="8" t="n">
        <v>14</v>
      </c>
      <c r="B15" s="9" t="s">
        <v>31</v>
      </c>
      <c r="C15" s="9" t="s">
        <v>32</v>
      </c>
      <c r="D15" s="10" t="n">
        <v>0.291666666666667</v>
      </c>
      <c r="E15" s="11" t="n">
        <v>0.916666666666667</v>
      </c>
    </row>
    <row r="16" customFormat="false" ht="15.75" hidden="false" customHeight="true" outlineLevel="0" collapsed="false">
      <c r="A16" s="12" t="n">
        <v>15</v>
      </c>
      <c r="B16" s="13" t="s">
        <v>33</v>
      </c>
      <c r="C16" s="13" t="s">
        <v>34</v>
      </c>
      <c r="D16" s="14" t="n">
        <v>0.291666666666667</v>
      </c>
      <c r="E16" s="15" t="n">
        <v>0</v>
      </c>
    </row>
    <row r="17" customFormat="false" ht="15.75" hidden="false" customHeight="true" outlineLevel="0" collapsed="false">
      <c r="A17" s="8" t="n">
        <v>16</v>
      </c>
      <c r="B17" s="9" t="s">
        <v>35</v>
      </c>
      <c r="C17" s="9" t="s">
        <v>35</v>
      </c>
      <c r="D17" s="10" t="n">
        <v>0.291666666666667</v>
      </c>
      <c r="E17" s="11" t="n">
        <v>0.916666666666667</v>
      </c>
    </row>
    <row r="18" customFormat="false" ht="15.75" hidden="false" customHeight="true" outlineLevel="0" collapsed="false">
      <c r="A18" s="12" t="n">
        <v>17</v>
      </c>
      <c r="B18" s="13" t="s">
        <v>36</v>
      </c>
      <c r="C18" s="13" t="s">
        <v>37</v>
      </c>
      <c r="D18" s="14" t="n">
        <v>0.291666666666667</v>
      </c>
      <c r="E18" s="15" t="n">
        <v>0.916666666666667</v>
      </c>
    </row>
    <row r="19" customFormat="false" ht="15.75" hidden="false" customHeight="true" outlineLevel="0" collapsed="false">
      <c r="A19" s="8" t="n">
        <v>18</v>
      </c>
      <c r="B19" s="9" t="s">
        <v>38</v>
      </c>
      <c r="C19" s="9" t="s">
        <v>39</v>
      </c>
      <c r="D19" s="10" t="n">
        <v>0.291666666666667</v>
      </c>
      <c r="E19" s="11" t="n">
        <v>0.916666666666667</v>
      </c>
    </row>
    <row r="20" customFormat="false" ht="15.75" hidden="false" customHeight="true" outlineLevel="0" collapsed="false">
      <c r="A20" s="12" t="n">
        <v>19</v>
      </c>
      <c r="B20" s="13" t="s">
        <v>40</v>
      </c>
      <c r="C20" s="13" t="s">
        <v>41</v>
      </c>
      <c r="D20" s="14" t="n">
        <v>0.291666666666667</v>
      </c>
      <c r="E20" s="15" t="n">
        <v>0.916666666666667</v>
      </c>
    </row>
    <row r="21" customFormat="false" ht="15.75" hidden="false" customHeight="true" outlineLevel="0" collapsed="false">
      <c r="A21" s="8" t="n">
        <v>20</v>
      </c>
      <c r="B21" s="9" t="s">
        <v>42</v>
      </c>
      <c r="C21" s="9" t="s">
        <v>43</v>
      </c>
      <c r="D21" s="10" t="n">
        <v>0.291666666666667</v>
      </c>
      <c r="E21" s="11" t="n">
        <v>0.791666666666667</v>
      </c>
    </row>
    <row r="22" customFormat="false" ht="15.75" hidden="false" customHeight="true" outlineLevel="0" collapsed="false">
      <c r="A22" s="12" t="n">
        <v>21</v>
      </c>
      <c r="B22" s="13" t="s">
        <v>44</v>
      </c>
      <c r="C22" s="13" t="s">
        <v>45</v>
      </c>
      <c r="D22" s="14" t="n">
        <v>0.270833333333333</v>
      </c>
      <c r="E22" s="15" t="n">
        <v>0.958333333333333</v>
      </c>
    </row>
    <row r="23" customFormat="false" ht="15.75" hidden="false" customHeight="true" outlineLevel="0" collapsed="false">
      <c r="A23" s="8" t="n">
        <v>22</v>
      </c>
      <c r="B23" s="9" t="s">
        <v>46</v>
      </c>
      <c r="C23" s="9" t="s">
        <v>47</v>
      </c>
      <c r="D23" s="10" t="n">
        <v>0.291666666666667</v>
      </c>
      <c r="E23" s="11" t="n">
        <v>0.833333333333333</v>
      </c>
    </row>
    <row r="24" customFormat="false" ht="15.75" hidden="false" customHeight="true" outlineLevel="0" collapsed="false">
      <c r="A24" s="12" t="n">
        <v>23</v>
      </c>
      <c r="B24" s="13" t="s">
        <v>48</v>
      </c>
      <c r="C24" s="13" t="s">
        <v>49</v>
      </c>
      <c r="D24" s="14" t="n">
        <v>0</v>
      </c>
      <c r="E24" s="15" t="n">
        <v>0.999305555555556</v>
      </c>
    </row>
    <row r="25" customFormat="false" ht="15.75" hidden="false" customHeight="true" outlineLevel="0" collapsed="false">
      <c r="A25" s="8" t="n">
        <v>24</v>
      </c>
      <c r="B25" s="9" t="s">
        <v>50</v>
      </c>
      <c r="C25" s="9" t="s">
        <v>51</v>
      </c>
      <c r="D25" s="10" t="n">
        <v>0.333333333333333</v>
      </c>
      <c r="E25" s="11" t="n">
        <v>0.958333333333333</v>
      </c>
    </row>
    <row r="26" customFormat="false" ht="15.75" hidden="false" customHeight="true" outlineLevel="0" collapsed="false">
      <c r="A26" s="12" t="n">
        <v>25</v>
      </c>
      <c r="B26" s="13" t="s">
        <v>52</v>
      </c>
      <c r="C26" s="13" t="s">
        <v>53</v>
      </c>
      <c r="D26" s="14" t="n">
        <v>0.375</v>
      </c>
      <c r="E26" s="15" t="n">
        <v>0.833333333333333</v>
      </c>
    </row>
    <row r="27" customFormat="false" ht="15.75" hidden="false" customHeight="true" outlineLevel="0" collapsed="false">
      <c r="A27" s="8" t="n">
        <v>26</v>
      </c>
      <c r="B27" s="9" t="s">
        <v>54</v>
      </c>
      <c r="C27" s="9" t="s">
        <v>55</v>
      </c>
      <c r="D27" s="10" t="n">
        <v>0.291666666666667</v>
      </c>
      <c r="E27" s="11" t="n">
        <v>0.875</v>
      </c>
    </row>
    <row r="28" customFormat="false" ht="15.75" hidden="false" customHeight="true" outlineLevel="0" collapsed="false">
      <c r="A28" s="12" t="n">
        <v>27</v>
      </c>
      <c r="B28" s="13" t="s">
        <v>56</v>
      </c>
      <c r="C28" s="13" t="s">
        <v>57</v>
      </c>
      <c r="D28" s="14" t="n">
        <v>0.291666666666667</v>
      </c>
      <c r="E28" s="15" t="n">
        <v>0.875</v>
      </c>
    </row>
    <row r="29" customFormat="false" ht="15.75" hidden="false" customHeight="true" outlineLevel="0" collapsed="false">
      <c r="A29" s="8" t="n">
        <v>28</v>
      </c>
      <c r="B29" s="9" t="s">
        <v>58</v>
      </c>
      <c r="C29" s="9" t="s">
        <v>59</v>
      </c>
      <c r="D29" s="10" t="n">
        <v>0.291666666666667</v>
      </c>
      <c r="E29" s="11" t="n">
        <v>0.875</v>
      </c>
    </row>
    <row r="30" customFormat="false" ht="15.75" hidden="false" customHeight="true" outlineLevel="0" collapsed="false">
      <c r="A30" s="12" t="n">
        <v>29</v>
      </c>
      <c r="B30" s="13" t="s">
        <v>60</v>
      </c>
      <c r="C30" s="13" t="s">
        <v>61</v>
      </c>
      <c r="D30" s="14" t="n">
        <v>0.333333333333333</v>
      </c>
      <c r="E30" s="15" t="n">
        <v>0.833333333333333</v>
      </c>
    </row>
    <row r="31" customFormat="false" ht="15.75" hidden="false" customHeight="true" outlineLevel="0" collapsed="false">
      <c r="A31" s="8" t="n">
        <v>30</v>
      </c>
      <c r="B31" s="9" t="s">
        <v>62</v>
      </c>
      <c r="C31" s="9" t="s">
        <v>63</v>
      </c>
      <c r="D31" s="10" t="n">
        <v>0.270833333333333</v>
      </c>
      <c r="E31" s="11" t="n">
        <v>0</v>
      </c>
    </row>
    <row r="32" customFormat="false" ht="15.75" hidden="false" customHeight="true" outlineLevel="0" collapsed="false">
      <c r="A32" s="12" t="n">
        <v>31</v>
      </c>
      <c r="B32" s="13" t="s">
        <v>64</v>
      </c>
      <c r="C32" s="13" t="s">
        <v>65</v>
      </c>
      <c r="D32" s="14" t="n">
        <v>0.291666666666667</v>
      </c>
      <c r="E32" s="15" t="n">
        <v>0.993055555555556</v>
      </c>
    </row>
    <row r="33" customFormat="false" ht="15.75" hidden="false" customHeight="true" outlineLevel="0" collapsed="false">
      <c r="A33" s="8" t="n">
        <v>32</v>
      </c>
      <c r="B33" s="9" t="s">
        <v>66</v>
      </c>
      <c r="C33" s="9" t="s">
        <v>67</v>
      </c>
      <c r="D33" s="10" t="n">
        <v>0.375</v>
      </c>
      <c r="E33" s="11" t="n">
        <v>0.875</v>
      </c>
    </row>
    <row r="34" customFormat="false" ht="15.75" hidden="false" customHeight="true" outlineLevel="0" collapsed="false">
      <c r="A34" s="12" t="n">
        <v>33</v>
      </c>
      <c r="B34" s="13" t="s">
        <v>68</v>
      </c>
      <c r="C34" s="13" t="s">
        <v>69</v>
      </c>
      <c r="D34" s="14" t="n">
        <v>0.333333333333333</v>
      </c>
      <c r="E34" s="15" t="n">
        <v>0.875</v>
      </c>
    </row>
    <row r="35" customFormat="false" ht="15.75" hidden="false" customHeight="true" outlineLevel="0" collapsed="false">
      <c r="A35" s="8" t="n">
        <v>34</v>
      </c>
      <c r="B35" s="9" t="s">
        <v>70</v>
      </c>
      <c r="C35" s="9" t="s">
        <v>71</v>
      </c>
      <c r="D35" s="10" t="n">
        <v>0.270833333333333</v>
      </c>
      <c r="E35" s="11" t="n">
        <v>0.958333333333333</v>
      </c>
    </row>
    <row r="36" customFormat="false" ht="15.75" hidden="false" customHeight="true" outlineLevel="0" collapsed="false">
      <c r="A36" s="12" t="n">
        <v>35</v>
      </c>
      <c r="B36" s="13" t="s">
        <v>72</v>
      </c>
      <c r="C36" s="13" t="s">
        <v>73</v>
      </c>
      <c r="D36" s="14" t="n">
        <v>0.291666666666667</v>
      </c>
      <c r="E36" s="15" t="n">
        <v>0.916666666666667</v>
      </c>
    </row>
    <row r="37" customFormat="false" ht="15.75" hidden="false" customHeight="true" outlineLevel="0" collapsed="false">
      <c r="A37" s="8" t="n">
        <v>36</v>
      </c>
      <c r="B37" s="9" t="s">
        <v>74</v>
      </c>
      <c r="C37" s="9" t="s">
        <v>75</v>
      </c>
      <c r="D37" s="10" t="n">
        <v>0.270833333333333</v>
      </c>
      <c r="E37" s="11" t="n">
        <v>0.958333333333333</v>
      </c>
    </row>
    <row r="38" customFormat="false" ht="15.75" hidden="false" customHeight="true" outlineLevel="0" collapsed="false">
      <c r="A38" s="12" t="n">
        <v>37</v>
      </c>
      <c r="B38" s="13" t="s">
        <v>76</v>
      </c>
      <c r="C38" s="13" t="s">
        <v>77</v>
      </c>
      <c r="D38" s="14" t="n">
        <v>0.291666666666667</v>
      </c>
      <c r="E38" s="15" t="n">
        <v>0.916666666666667</v>
      </c>
    </row>
    <row r="39" customFormat="false" ht="15.75" hidden="false" customHeight="true" outlineLevel="0" collapsed="false">
      <c r="A39" s="8" t="n">
        <v>38</v>
      </c>
      <c r="B39" s="9" t="s">
        <v>78</v>
      </c>
      <c r="C39" s="9" t="s">
        <v>79</v>
      </c>
      <c r="D39" s="10" t="n">
        <v>0.291666666666667</v>
      </c>
      <c r="E39" s="11" t="n">
        <v>0.916666666666667</v>
      </c>
    </row>
    <row r="40" customFormat="false" ht="15.75" hidden="false" customHeight="true" outlineLevel="0" collapsed="false">
      <c r="A40" s="12" t="n">
        <v>39</v>
      </c>
      <c r="B40" s="13" t="s">
        <v>80</v>
      </c>
      <c r="C40" s="13" t="s">
        <v>81</v>
      </c>
      <c r="D40" s="14" t="n">
        <v>0.291666666666667</v>
      </c>
      <c r="E40" s="15" t="n">
        <v>0.791666666666667</v>
      </c>
    </row>
    <row r="41" customFormat="false" ht="15.75" hidden="false" customHeight="true" outlineLevel="0" collapsed="false">
      <c r="A41" s="8" t="n">
        <v>40</v>
      </c>
      <c r="B41" s="9" t="s">
        <v>82</v>
      </c>
      <c r="C41" s="9" t="s">
        <v>83</v>
      </c>
      <c r="D41" s="10" t="n">
        <v>0.291666666666667</v>
      </c>
      <c r="E41" s="11" t="n">
        <v>0.875</v>
      </c>
    </row>
    <row r="42" customFormat="false" ht="15.75" hidden="false" customHeight="true" outlineLevel="0" collapsed="false">
      <c r="A42" s="12" t="n">
        <v>41</v>
      </c>
      <c r="B42" s="13" t="s">
        <v>84</v>
      </c>
      <c r="C42" s="13" t="s">
        <v>85</v>
      </c>
      <c r="D42" s="14" t="n">
        <v>0.333333333333333</v>
      </c>
      <c r="E42" s="15" t="n">
        <v>0.833333333333333</v>
      </c>
    </row>
    <row r="43" customFormat="false" ht="15.75" hidden="false" customHeight="true" outlineLevel="0" collapsed="false">
      <c r="A43" s="8" t="n">
        <v>42</v>
      </c>
      <c r="B43" s="9" t="s">
        <v>86</v>
      </c>
      <c r="C43" s="9" t="s">
        <v>87</v>
      </c>
      <c r="D43" s="10" t="n">
        <v>0.375</v>
      </c>
      <c r="E43" s="11" t="n">
        <v>0.833333333333333</v>
      </c>
    </row>
    <row r="44" customFormat="false" ht="15.75" hidden="false" customHeight="true" outlineLevel="0" collapsed="false">
      <c r="A44" s="12" t="n">
        <v>43</v>
      </c>
      <c r="B44" s="13" t="s">
        <v>88</v>
      </c>
      <c r="C44" s="13" t="s">
        <v>89</v>
      </c>
      <c r="D44" s="14" t="n">
        <v>0.291666666666667</v>
      </c>
      <c r="E44" s="15" t="n">
        <v>0.729166666666667</v>
      </c>
    </row>
    <row r="45" customFormat="false" ht="15.75" hidden="false" customHeight="true" outlineLevel="0" collapsed="false">
      <c r="A45" s="8" t="n">
        <v>44</v>
      </c>
      <c r="B45" s="9" t="s">
        <v>90</v>
      </c>
      <c r="C45" s="9" t="s">
        <v>91</v>
      </c>
      <c r="D45" s="10" t="n">
        <v>0.333333333333333</v>
      </c>
      <c r="E45" s="11" t="n">
        <v>0.833333333333333</v>
      </c>
    </row>
    <row r="46" customFormat="false" ht="15.75" hidden="false" customHeight="true" outlineLevel="0" collapsed="false">
      <c r="A46" s="12" t="n">
        <v>45</v>
      </c>
      <c r="B46" s="13" t="s">
        <v>92</v>
      </c>
      <c r="C46" s="13" t="s">
        <v>93</v>
      </c>
      <c r="D46" s="14" t="n">
        <v>0.291666666666667</v>
      </c>
      <c r="E46" s="15" t="n">
        <v>0.916666666666667</v>
      </c>
    </row>
    <row r="47" customFormat="false" ht="15.75" hidden="false" customHeight="true" outlineLevel="0" collapsed="false">
      <c r="A47" s="8" t="n">
        <v>46</v>
      </c>
      <c r="B47" s="9" t="s">
        <v>94</v>
      </c>
      <c r="C47" s="9" t="s">
        <v>95</v>
      </c>
      <c r="D47" s="10" t="n">
        <v>0.291666666666667</v>
      </c>
      <c r="E47" s="11" t="n">
        <v>0.916666666666667</v>
      </c>
    </row>
    <row r="48" customFormat="false" ht="15.75" hidden="false" customHeight="true" outlineLevel="0" collapsed="false">
      <c r="A48" s="12" t="n">
        <v>47</v>
      </c>
      <c r="B48" s="13" t="s">
        <v>96</v>
      </c>
      <c r="C48" s="13" t="s">
        <v>97</v>
      </c>
      <c r="D48" s="14" t="n">
        <v>0.291666666666667</v>
      </c>
      <c r="E48" s="15" t="n">
        <v>0.916666666666667</v>
      </c>
    </row>
    <row r="49" customFormat="false" ht="15.75" hidden="false" customHeight="true" outlineLevel="0" collapsed="false">
      <c r="A49" s="8" t="n">
        <v>48</v>
      </c>
      <c r="B49" s="9" t="s">
        <v>98</v>
      </c>
      <c r="C49" s="9" t="s">
        <v>99</v>
      </c>
      <c r="D49" s="10" t="n">
        <v>0.291666666666667</v>
      </c>
      <c r="E49" s="11" t="n">
        <v>0.916666666666667</v>
      </c>
    </row>
    <row r="50" customFormat="false" ht="15.75" hidden="false" customHeight="true" outlineLevel="0" collapsed="false">
      <c r="A50" s="12" t="n">
        <v>49</v>
      </c>
      <c r="B50" s="13" t="s">
        <v>100</v>
      </c>
      <c r="C50" s="13" t="s">
        <v>101</v>
      </c>
      <c r="D50" s="14" t="n">
        <v>0.333333333333333</v>
      </c>
      <c r="E50" s="15" t="n">
        <v>0.791666666666667</v>
      </c>
    </row>
    <row r="51" customFormat="false" ht="15.75" hidden="false" customHeight="true" outlineLevel="0" collapsed="false">
      <c r="A51" s="8" t="n">
        <v>50</v>
      </c>
      <c r="B51" s="9" t="s">
        <v>102</v>
      </c>
      <c r="C51" s="9" t="s">
        <v>103</v>
      </c>
      <c r="D51" s="10" t="n">
        <v>0.291666666666667</v>
      </c>
      <c r="E51" s="11" t="n">
        <v>0.916666666666667</v>
      </c>
    </row>
    <row r="52" customFormat="false" ht="15.75" hidden="false" customHeight="true" outlineLevel="0" collapsed="false">
      <c r="A52" s="12" t="n">
        <v>51</v>
      </c>
      <c r="B52" s="13" t="s">
        <v>104</v>
      </c>
      <c r="C52" s="13" t="s">
        <v>105</v>
      </c>
      <c r="D52" s="14" t="n">
        <v>0.25</v>
      </c>
      <c r="E52" s="15" t="n">
        <v>0.9375</v>
      </c>
    </row>
    <row r="53" customFormat="false" ht="15.75" hidden="false" customHeight="true" outlineLevel="0" collapsed="false">
      <c r="A53" s="8" t="n">
        <v>52</v>
      </c>
      <c r="B53" s="9" t="s">
        <v>106</v>
      </c>
      <c r="C53" s="9" t="s">
        <v>107</v>
      </c>
      <c r="D53" s="10" t="n">
        <v>0.270833333333333</v>
      </c>
      <c r="E53" s="11" t="n">
        <v>0.993055555555556</v>
      </c>
    </row>
    <row r="54" customFormat="false" ht="15.75" hidden="false" customHeight="true" outlineLevel="0" collapsed="false">
      <c r="A54" s="12" t="n">
        <v>53</v>
      </c>
      <c r="B54" s="13" t="s">
        <v>108</v>
      </c>
      <c r="C54" s="13" t="s">
        <v>109</v>
      </c>
      <c r="D54" s="14" t="n">
        <v>0.291666666666667</v>
      </c>
      <c r="E54" s="15" t="n">
        <v>0.916666666666667</v>
      </c>
    </row>
    <row r="55" customFormat="false" ht="15.75" hidden="false" customHeight="true" outlineLevel="0" collapsed="false">
      <c r="A55" s="8" t="n">
        <v>54</v>
      </c>
      <c r="B55" s="9" t="s">
        <v>110</v>
      </c>
      <c r="C55" s="9" t="s">
        <v>111</v>
      </c>
      <c r="D55" s="10" t="n">
        <v>0.291666666666667</v>
      </c>
      <c r="E55" s="11" t="n">
        <v>0.958333333333333</v>
      </c>
    </row>
    <row r="56" customFormat="false" ht="15.75" hidden="false" customHeight="true" outlineLevel="0" collapsed="false">
      <c r="A56" s="12" t="n">
        <v>55</v>
      </c>
      <c r="B56" s="13" t="s">
        <v>112</v>
      </c>
      <c r="C56" s="13" t="s">
        <v>113</v>
      </c>
      <c r="D56" s="14" t="n">
        <v>0.291666666666667</v>
      </c>
      <c r="E56" s="15" t="n">
        <v>0.999305555555556</v>
      </c>
    </row>
    <row r="57" customFormat="false" ht="15.75" hidden="false" customHeight="true" outlineLevel="0" collapsed="false">
      <c r="A57" s="8" t="n">
        <v>56</v>
      </c>
      <c r="B57" s="9" t="s">
        <v>114</v>
      </c>
      <c r="C57" s="9" t="s">
        <v>115</v>
      </c>
      <c r="D57" s="10" t="n">
        <v>0.291666666666667</v>
      </c>
      <c r="E57" s="11" t="n">
        <v>0.916666666666667</v>
      </c>
    </row>
    <row r="58" customFormat="false" ht="15.75" hidden="false" customHeight="true" outlineLevel="0" collapsed="false">
      <c r="A58" s="12" t="n">
        <v>57</v>
      </c>
      <c r="B58" s="13" t="s">
        <v>116</v>
      </c>
      <c r="C58" s="13" t="s">
        <v>117</v>
      </c>
      <c r="D58" s="14" t="n">
        <v>0.291666666666667</v>
      </c>
      <c r="E58" s="15" t="n">
        <v>0.916666666666667</v>
      </c>
    </row>
    <row r="59" customFormat="false" ht="15.75" hidden="false" customHeight="true" outlineLevel="0" collapsed="false">
      <c r="A59" s="8" t="n">
        <v>58</v>
      </c>
      <c r="B59" s="9" t="s">
        <v>118</v>
      </c>
      <c r="C59" s="9" t="s">
        <v>119</v>
      </c>
      <c r="D59" s="10" t="n">
        <v>0.291666666666667</v>
      </c>
      <c r="E59" s="11" t="n">
        <v>0.916666666666667</v>
      </c>
    </row>
    <row r="60" customFormat="false" ht="15.75" hidden="false" customHeight="true" outlineLevel="0" collapsed="false">
      <c r="A60" s="12" t="n">
        <v>59</v>
      </c>
      <c r="B60" s="13" t="s">
        <v>120</v>
      </c>
      <c r="C60" s="13" t="s">
        <v>121</v>
      </c>
      <c r="D60" s="14" t="n">
        <v>0.270833333333333</v>
      </c>
      <c r="E60" s="15" t="n">
        <v>0.958333333333333</v>
      </c>
    </row>
    <row r="61" customFormat="false" ht="15.75" hidden="false" customHeight="true" outlineLevel="0" collapsed="false">
      <c r="A61" s="8" t="n">
        <v>60</v>
      </c>
      <c r="B61" s="9" t="s">
        <v>122</v>
      </c>
      <c r="C61" s="9" t="s">
        <v>123</v>
      </c>
      <c r="D61" s="10" t="n">
        <v>0.333333333333333</v>
      </c>
      <c r="E61" s="11" t="n">
        <v>0.833333333333333</v>
      </c>
    </row>
    <row r="62" customFormat="false" ht="15.75" hidden="false" customHeight="true" outlineLevel="0" collapsed="false">
      <c r="A62" s="12" t="n">
        <v>61</v>
      </c>
      <c r="B62" s="13" t="s">
        <v>124</v>
      </c>
      <c r="C62" s="13" t="s">
        <v>125</v>
      </c>
      <c r="D62" s="14" t="n">
        <v>0.291666666666667</v>
      </c>
      <c r="E62" s="15" t="n">
        <v>0.75</v>
      </c>
    </row>
    <row r="63" customFormat="false" ht="15.75" hidden="false" customHeight="true" outlineLevel="0" collapsed="false">
      <c r="A63" s="8" t="n">
        <v>62</v>
      </c>
      <c r="B63" s="9" t="s">
        <v>126</v>
      </c>
      <c r="C63" s="9" t="s">
        <v>127</v>
      </c>
      <c r="D63" s="10" t="n">
        <v>0.333333333333333</v>
      </c>
      <c r="E63" s="11" t="n">
        <v>0.875</v>
      </c>
    </row>
    <row r="64" customFormat="false" ht="15.75" hidden="false" customHeight="true" outlineLevel="0" collapsed="false">
      <c r="A64" s="16" t="n">
        <v>63</v>
      </c>
      <c r="B64" s="17" t="s">
        <v>128</v>
      </c>
      <c r="C64" s="17" t="s">
        <v>129</v>
      </c>
      <c r="D64" s="18" t="n">
        <v>0.291666666666667</v>
      </c>
      <c r="E64" s="19" t="n">
        <v>0.916666666666667</v>
      </c>
    </row>
    <row r="257" customFormat="false" ht="12" hidden="false" customHeight="true" outlineLevel="0" collapsed="false">
      <c r="G257" s="20"/>
      <c r="L257" s="21"/>
    </row>
    <row r="258" customFormat="false" ht="12" hidden="false" customHeight="true" outlineLevel="0" collapsed="false">
      <c r="G258" s="20"/>
      <c r="L258" s="21"/>
    </row>
    <row r="259" customFormat="false" ht="12" hidden="false" customHeight="true" outlineLevel="0" collapsed="false">
      <c r="G259" s="20"/>
      <c r="L259" s="21"/>
    </row>
    <row r="260" customFormat="false" ht="12" hidden="false" customHeight="true" outlineLevel="0" collapsed="false">
      <c r="G260" s="20"/>
      <c r="L260" s="21"/>
    </row>
    <row r="261" customFormat="false" ht="12" hidden="false" customHeight="true" outlineLevel="0" collapsed="false">
      <c r="G261" s="20"/>
      <c r="L261" s="21"/>
    </row>
    <row r="262" customFormat="false" ht="12" hidden="false" customHeight="true" outlineLevel="0" collapsed="false">
      <c r="G262" s="20"/>
      <c r="L262" s="21"/>
    </row>
    <row r="263" customFormat="false" ht="12" hidden="false" customHeight="true" outlineLevel="0" collapsed="false">
      <c r="G263" s="20"/>
      <c r="L263" s="21"/>
    </row>
    <row r="264" customFormat="false" ht="12" hidden="false" customHeight="true" outlineLevel="0" collapsed="false">
      <c r="G264" s="20"/>
      <c r="L264" s="21"/>
    </row>
    <row r="265" customFormat="false" ht="12" hidden="false" customHeight="true" outlineLevel="0" collapsed="false">
      <c r="G265" s="20"/>
      <c r="L265" s="21"/>
    </row>
    <row r="266" customFormat="false" ht="12" hidden="false" customHeight="true" outlineLevel="0" collapsed="false">
      <c r="G266" s="20"/>
      <c r="L266" s="21"/>
    </row>
    <row r="267" customFormat="false" ht="12" hidden="false" customHeight="true" outlineLevel="0" collapsed="false">
      <c r="G267" s="20"/>
      <c r="L267" s="21"/>
    </row>
    <row r="268" customFormat="false" ht="12" hidden="false" customHeight="true" outlineLevel="0" collapsed="false">
      <c r="G268" s="20"/>
      <c r="L268" s="21"/>
    </row>
    <row r="269" customFormat="false" ht="12" hidden="false" customHeight="true" outlineLevel="0" collapsed="false">
      <c r="G269" s="20"/>
      <c r="L269" s="21"/>
    </row>
    <row r="270" customFormat="false" ht="12" hidden="false" customHeight="true" outlineLevel="0" collapsed="false">
      <c r="G270" s="20"/>
      <c r="L270" s="21"/>
    </row>
    <row r="271" customFormat="false" ht="12" hidden="false" customHeight="true" outlineLevel="0" collapsed="false">
      <c r="G271" s="20"/>
      <c r="L271" s="21"/>
    </row>
    <row r="272" customFormat="false" ht="12" hidden="false" customHeight="true" outlineLevel="0" collapsed="false">
      <c r="G272" s="20"/>
      <c r="L272" s="21"/>
    </row>
    <row r="273" customFormat="false" ht="12" hidden="false" customHeight="true" outlineLevel="0" collapsed="false">
      <c r="G273" s="20"/>
      <c r="L273" s="21"/>
    </row>
    <row r="274" customFormat="false" ht="12" hidden="false" customHeight="true" outlineLevel="0" collapsed="false">
      <c r="G274" s="20"/>
      <c r="L274" s="21"/>
    </row>
    <row r="275" customFormat="false" ht="12" hidden="false" customHeight="true" outlineLevel="0" collapsed="false">
      <c r="G275" s="20"/>
      <c r="L275" s="21"/>
    </row>
    <row r="276" customFormat="false" ht="12" hidden="false" customHeight="true" outlineLevel="0" collapsed="false">
      <c r="G276" s="20"/>
      <c r="L276" s="21"/>
    </row>
    <row r="277" customFormat="false" ht="12" hidden="false" customHeight="true" outlineLevel="0" collapsed="false">
      <c r="G277" s="20"/>
      <c r="L277" s="21"/>
    </row>
    <row r="278" customFormat="false" ht="12" hidden="false" customHeight="true" outlineLevel="0" collapsed="false">
      <c r="G278" s="20"/>
      <c r="L278" s="21"/>
    </row>
    <row r="279" customFormat="false" ht="12" hidden="false" customHeight="true" outlineLevel="0" collapsed="false">
      <c r="G279" s="20"/>
      <c r="L279" s="21"/>
    </row>
    <row r="280" customFormat="false" ht="12" hidden="false" customHeight="true" outlineLevel="0" collapsed="false">
      <c r="G280" s="20"/>
      <c r="L280" s="21"/>
    </row>
    <row r="281" customFormat="false" ht="12" hidden="false" customHeight="true" outlineLevel="0" collapsed="false">
      <c r="G281" s="20"/>
      <c r="L281" s="21"/>
    </row>
    <row r="282" customFormat="false" ht="12" hidden="false" customHeight="true" outlineLevel="0" collapsed="false">
      <c r="G282" s="20"/>
      <c r="L282" s="21"/>
    </row>
    <row r="283" customFormat="false" ht="12" hidden="false" customHeight="true" outlineLevel="0" collapsed="false">
      <c r="G283" s="20"/>
      <c r="L283" s="21"/>
    </row>
    <row r="284" customFormat="false" ht="12" hidden="false" customHeight="true" outlineLevel="0" collapsed="false">
      <c r="G284" s="20"/>
      <c r="L284" s="21"/>
    </row>
    <row r="285" customFormat="false" ht="12" hidden="false" customHeight="true" outlineLevel="0" collapsed="false">
      <c r="G285" s="20"/>
      <c r="L285" s="21"/>
    </row>
    <row r="286" customFormat="false" ht="12" hidden="false" customHeight="true" outlineLevel="0" collapsed="false">
      <c r="G286" s="20"/>
      <c r="L286" s="21"/>
    </row>
    <row r="287" customFormat="false" ht="12" hidden="false" customHeight="true" outlineLevel="0" collapsed="false">
      <c r="G287" s="20"/>
      <c r="L287" s="21"/>
    </row>
    <row r="288" customFormat="false" ht="12" hidden="false" customHeight="true" outlineLevel="0" collapsed="false">
      <c r="G288" s="20"/>
      <c r="L288" s="21"/>
    </row>
    <row r="289" customFormat="false" ht="12" hidden="false" customHeight="true" outlineLevel="0" collapsed="false">
      <c r="G289" s="20"/>
      <c r="L289" s="21"/>
    </row>
    <row r="290" customFormat="false" ht="12" hidden="false" customHeight="true" outlineLevel="0" collapsed="false">
      <c r="G290" s="20"/>
      <c r="L290" s="21"/>
    </row>
    <row r="291" customFormat="false" ht="12" hidden="false" customHeight="true" outlineLevel="0" collapsed="false">
      <c r="G291" s="20"/>
      <c r="L291" s="21"/>
    </row>
    <row r="292" customFormat="false" ht="12" hidden="false" customHeight="true" outlineLevel="0" collapsed="false">
      <c r="G292" s="20"/>
      <c r="L292" s="21"/>
    </row>
    <row r="293" customFormat="false" ht="12" hidden="false" customHeight="true" outlineLevel="0" collapsed="false">
      <c r="G293" s="20"/>
      <c r="L293" s="21"/>
    </row>
    <row r="294" customFormat="false" ht="12" hidden="false" customHeight="true" outlineLevel="0" collapsed="false">
      <c r="G294" s="20"/>
      <c r="L294" s="21"/>
    </row>
    <row r="295" customFormat="false" ht="12" hidden="false" customHeight="true" outlineLevel="0" collapsed="false">
      <c r="G295" s="20"/>
      <c r="L295" s="21"/>
    </row>
    <row r="296" customFormat="false" ht="12" hidden="false" customHeight="true" outlineLevel="0" collapsed="false">
      <c r="G296" s="20"/>
      <c r="L296" s="21"/>
    </row>
    <row r="297" customFormat="false" ht="12" hidden="false" customHeight="true" outlineLevel="0" collapsed="false">
      <c r="G297" s="20"/>
      <c r="L297" s="21"/>
    </row>
    <row r="298" customFormat="false" ht="12" hidden="false" customHeight="true" outlineLevel="0" collapsed="false">
      <c r="G298" s="20"/>
      <c r="L298" s="21"/>
    </row>
    <row r="299" customFormat="false" ht="12" hidden="false" customHeight="true" outlineLevel="0" collapsed="false">
      <c r="G299" s="20"/>
      <c r="L299" s="21"/>
    </row>
    <row r="300" customFormat="false" ht="12" hidden="false" customHeight="true" outlineLevel="0" collapsed="false">
      <c r="G300" s="20"/>
      <c r="L300" s="21"/>
    </row>
    <row r="301" customFormat="false" ht="12" hidden="false" customHeight="true" outlineLevel="0" collapsed="false">
      <c r="G301" s="20"/>
      <c r="L301" s="21"/>
    </row>
    <row r="302" customFormat="false" ht="12" hidden="false" customHeight="true" outlineLevel="0" collapsed="false">
      <c r="G302" s="20"/>
      <c r="L302" s="21"/>
    </row>
    <row r="303" customFormat="false" ht="12" hidden="false" customHeight="true" outlineLevel="0" collapsed="false">
      <c r="G303" s="20"/>
      <c r="L303" s="21"/>
    </row>
    <row r="304" customFormat="false" ht="12" hidden="false" customHeight="true" outlineLevel="0" collapsed="false">
      <c r="G304" s="20"/>
      <c r="L304" s="21"/>
    </row>
    <row r="305" customFormat="false" ht="12" hidden="false" customHeight="true" outlineLevel="0" collapsed="false">
      <c r="G305" s="20"/>
      <c r="L305" s="21"/>
    </row>
    <row r="306" customFormat="false" ht="12" hidden="false" customHeight="true" outlineLevel="0" collapsed="false">
      <c r="G306" s="20"/>
      <c r="L306" s="21"/>
    </row>
    <row r="307" customFormat="false" ht="12" hidden="false" customHeight="true" outlineLevel="0" collapsed="false">
      <c r="G307" s="20"/>
      <c r="L307" s="21"/>
    </row>
    <row r="308" customFormat="false" ht="12" hidden="false" customHeight="true" outlineLevel="0" collapsed="false">
      <c r="G308" s="20"/>
      <c r="L308" s="21"/>
    </row>
    <row r="309" customFormat="false" ht="12" hidden="false" customHeight="true" outlineLevel="0" collapsed="false">
      <c r="G309" s="20"/>
      <c r="L309" s="21"/>
    </row>
    <row r="310" customFormat="false" ht="12" hidden="false" customHeight="true" outlineLevel="0" collapsed="false">
      <c r="G310" s="20"/>
      <c r="L310" s="21"/>
    </row>
    <row r="311" customFormat="false" ht="12" hidden="false" customHeight="true" outlineLevel="0" collapsed="false">
      <c r="G311" s="20"/>
      <c r="L311" s="21"/>
    </row>
    <row r="312" customFormat="false" ht="12" hidden="false" customHeight="true" outlineLevel="0" collapsed="false">
      <c r="G312" s="20"/>
      <c r="L312" s="21"/>
    </row>
    <row r="313" customFormat="false" ht="12" hidden="false" customHeight="true" outlineLevel="0" collapsed="false">
      <c r="G313" s="20"/>
      <c r="L313" s="21"/>
    </row>
    <row r="314" customFormat="false" ht="12" hidden="false" customHeight="true" outlineLevel="0" collapsed="false">
      <c r="G314" s="20"/>
      <c r="L314" s="21"/>
    </row>
    <row r="315" customFormat="false" ht="12" hidden="false" customHeight="true" outlineLevel="0" collapsed="false">
      <c r="G315" s="20"/>
      <c r="L315" s="21"/>
    </row>
    <row r="316" customFormat="false" ht="12" hidden="false" customHeight="true" outlineLevel="0" collapsed="false">
      <c r="G316" s="20"/>
      <c r="L316" s="21"/>
    </row>
    <row r="317" customFormat="false" ht="12" hidden="false" customHeight="true" outlineLevel="0" collapsed="false">
      <c r="G317" s="20"/>
      <c r="L317" s="21"/>
    </row>
    <row r="318" customFormat="false" ht="12" hidden="false" customHeight="true" outlineLevel="0" collapsed="false">
      <c r="G318" s="20"/>
      <c r="L318" s="21"/>
    </row>
    <row r="319" customFormat="false" ht="12" hidden="false" customHeight="true" outlineLevel="0" collapsed="false">
      <c r="G319" s="20"/>
      <c r="L319" s="21"/>
    </row>
    <row r="320" customFormat="false" ht="12" hidden="false" customHeight="true" outlineLevel="0" collapsed="false">
      <c r="G320" s="20"/>
      <c r="L320" s="21"/>
    </row>
    <row r="321" customFormat="false" ht="12" hidden="false" customHeight="true" outlineLevel="0" collapsed="false">
      <c r="G321" s="20"/>
      <c r="L321" s="21"/>
    </row>
    <row r="322" customFormat="false" ht="12" hidden="false" customHeight="true" outlineLevel="0" collapsed="false">
      <c r="G322" s="20"/>
      <c r="L322" s="21"/>
    </row>
    <row r="323" customFormat="false" ht="12" hidden="false" customHeight="true" outlineLevel="0" collapsed="false">
      <c r="G323" s="20"/>
      <c r="L323" s="21"/>
    </row>
    <row r="324" customFormat="false" ht="12" hidden="false" customHeight="true" outlineLevel="0" collapsed="false">
      <c r="G324" s="20"/>
      <c r="L324" s="21"/>
    </row>
    <row r="325" customFormat="false" ht="12" hidden="false" customHeight="true" outlineLevel="0" collapsed="false">
      <c r="G325" s="20"/>
      <c r="L325" s="21"/>
    </row>
    <row r="326" customFormat="false" ht="12" hidden="false" customHeight="true" outlineLevel="0" collapsed="false">
      <c r="G326" s="20"/>
      <c r="L326" s="21"/>
    </row>
    <row r="327" customFormat="false" ht="12" hidden="false" customHeight="true" outlineLevel="0" collapsed="false">
      <c r="G327" s="20"/>
      <c r="L327" s="21"/>
    </row>
    <row r="328" customFormat="false" ht="12" hidden="false" customHeight="true" outlineLevel="0" collapsed="false">
      <c r="G328" s="20"/>
      <c r="L328" s="21"/>
    </row>
    <row r="329" customFormat="false" ht="12" hidden="false" customHeight="true" outlineLevel="0" collapsed="false">
      <c r="G329" s="20"/>
      <c r="L329" s="21"/>
    </row>
    <row r="330" customFormat="false" ht="12" hidden="false" customHeight="true" outlineLevel="0" collapsed="false">
      <c r="G330" s="20"/>
      <c r="L330" s="21"/>
    </row>
    <row r="331" customFormat="false" ht="12" hidden="false" customHeight="true" outlineLevel="0" collapsed="false">
      <c r="G331" s="20"/>
      <c r="L331" s="21"/>
    </row>
    <row r="332" customFormat="false" ht="12" hidden="false" customHeight="true" outlineLevel="0" collapsed="false">
      <c r="G332" s="20"/>
      <c r="L332" s="21"/>
    </row>
    <row r="333" customFormat="false" ht="12" hidden="false" customHeight="true" outlineLevel="0" collapsed="false">
      <c r="G333" s="20"/>
      <c r="L333" s="21"/>
    </row>
    <row r="334" customFormat="false" ht="12" hidden="false" customHeight="true" outlineLevel="0" collapsed="false">
      <c r="G334" s="20"/>
      <c r="L334" s="21"/>
    </row>
    <row r="335" customFormat="false" ht="12" hidden="false" customHeight="true" outlineLevel="0" collapsed="false">
      <c r="G335" s="20"/>
      <c r="L335" s="21"/>
    </row>
    <row r="336" customFormat="false" ht="12" hidden="false" customHeight="true" outlineLevel="0" collapsed="false">
      <c r="G336" s="20"/>
      <c r="L336" s="21"/>
    </row>
    <row r="337" customFormat="false" ht="12" hidden="false" customHeight="true" outlineLevel="0" collapsed="false">
      <c r="G337" s="20"/>
      <c r="L337" s="21"/>
    </row>
    <row r="338" customFormat="false" ht="12" hidden="false" customHeight="true" outlineLevel="0" collapsed="false">
      <c r="G338" s="20"/>
      <c r="L338" s="21"/>
    </row>
    <row r="339" customFormat="false" ht="12" hidden="false" customHeight="true" outlineLevel="0" collapsed="false">
      <c r="G339" s="20"/>
      <c r="L339" s="21"/>
    </row>
    <row r="340" customFormat="false" ht="12" hidden="false" customHeight="true" outlineLevel="0" collapsed="false">
      <c r="G340" s="20"/>
      <c r="L340" s="21"/>
    </row>
    <row r="341" customFormat="false" ht="12" hidden="false" customHeight="true" outlineLevel="0" collapsed="false">
      <c r="G341" s="20"/>
      <c r="L341" s="21"/>
    </row>
    <row r="342" customFormat="false" ht="12" hidden="false" customHeight="true" outlineLevel="0" collapsed="false">
      <c r="G342" s="20"/>
      <c r="L342" s="21"/>
    </row>
    <row r="343" customFormat="false" ht="12" hidden="false" customHeight="true" outlineLevel="0" collapsed="false">
      <c r="G343" s="20"/>
      <c r="L343" s="21"/>
    </row>
    <row r="344" customFormat="false" ht="12" hidden="false" customHeight="true" outlineLevel="0" collapsed="false">
      <c r="G344" s="20"/>
      <c r="L344" s="21"/>
    </row>
    <row r="345" customFormat="false" ht="12" hidden="false" customHeight="true" outlineLevel="0" collapsed="false">
      <c r="G345" s="20"/>
      <c r="L345" s="21"/>
    </row>
    <row r="346" customFormat="false" ht="12" hidden="false" customHeight="true" outlineLevel="0" collapsed="false">
      <c r="G346" s="20"/>
      <c r="L346" s="21"/>
    </row>
    <row r="347" customFormat="false" ht="12" hidden="false" customHeight="true" outlineLevel="0" collapsed="false">
      <c r="G347" s="20"/>
      <c r="L347" s="21"/>
    </row>
    <row r="348" customFormat="false" ht="12" hidden="false" customHeight="true" outlineLevel="0" collapsed="false">
      <c r="G348" s="20"/>
      <c r="L348" s="21"/>
    </row>
    <row r="349" customFormat="false" ht="12" hidden="false" customHeight="true" outlineLevel="0" collapsed="false">
      <c r="G349" s="20"/>
      <c r="L349" s="21"/>
    </row>
    <row r="350" customFormat="false" ht="12" hidden="false" customHeight="true" outlineLevel="0" collapsed="false">
      <c r="G350" s="20"/>
      <c r="L350" s="21"/>
    </row>
    <row r="351" customFormat="false" ht="12" hidden="false" customHeight="true" outlineLevel="0" collapsed="false">
      <c r="G351" s="20"/>
      <c r="L351" s="21"/>
    </row>
    <row r="352" customFormat="false" ht="12" hidden="false" customHeight="true" outlineLevel="0" collapsed="false">
      <c r="G352" s="20"/>
      <c r="L352" s="21"/>
    </row>
    <row r="353" customFormat="false" ht="12" hidden="false" customHeight="true" outlineLevel="0" collapsed="false">
      <c r="G353" s="20"/>
      <c r="L353" s="21"/>
    </row>
    <row r="354" customFormat="false" ht="12" hidden="false" customHeight="true" outlineLevel="0" collapsed="false">
      <c r="G354" s="20"/>
      <c r="L354" s="21"/>
    </row>
    <row r="355" customFormat="false" ht="12" hidden="false" customHeight="true" outlineLevel="0" collapsed="false">
      <c r="G355" s="20"/>
      <c r="L355" s="21"/>
    </row>
    <row r="356" customFormat="false" ht="12" hidden="false" customHeight="true" outlineLevel="0" collapsed="false">
      <c r="G356" s="20"/>
      <c r="L356" s="21"/>
    </row>
    <row r="357" customFormat="false" ht="12" hidden="false" customHeight="true" outlineLevel="0" collapsed="false">
      <c r="G357" s="20"/>
      <c r="L357" s="21"/>
    </row>
    <row r="358" customFormat="false" ht="12" hidden="false" customHeight="true" outlineLevel="0" collapsed="false">
      <c r="G358" s="20"/>
      <c r="L358" s="21"/>
    </row>
    <row r="359" customFormat="false" ht="12" hidden="false" customHeight="true" outlineLevel="0" collapsed="false">
      <c r="G359" s="20"/>
      <c r="L359" s="21"/>
    </row>
    <row r="360" customFormat="false" ht="12" hidden="false" customHeight="true" outlineLevel="0" collapsed="false">
      <c r="G360" s="20"/>
      <c r="L360" s="21"/>
    </row>
    <row r="361" customFormat="false" ht="12" hidden="false" customHeight="true" outlineLevel="0" collapsed="false">
      <c r="G361" s="20"/>
      <c r="L361" s="21"/>
    </row>
    <row r="362" customFormat="false" ht="12" hidden="false" customHeight="true" outlineLevel="0" collapsed="false">
      <c r="G362" s="20"/>
      <c r="L362" s="21"/>
    </row>
    <row r="363" customFormat="false" ht="12" hidden="false" customHeight="true" outlineLevel="0" collapsed="false">
      <c r="G363" s="20"/>
      <c r="L363" s="21"/>
    </row>
    <row r="364" customFormat="false" ht="12" hidden="false" customHeight="true" outlineLevel="0" collapsed="false">
      <c r="G364" s="20"/>
      <c r="L364" s="21"/>
    </row>
    <row r="365" customFormat="false" ht="12" hidden="false" customHeight="true" outlineLevel="0" collapsed="false">
      <c r="G365" s="20"/>
      <c r="L365" s="21"/>
    </row>
    <row r="366" customFormat="false" ht="12" hidden="false" customHeight="true" outlineLevel="0" collapsed="false">
      <c r="G366" s="20"/>
      <c r="L366" s="21"/>
    </row>
    <row r="367" customFormat="false" ht="12" hidden="false" customHeight="true" outlineLevel="0" collapsed="false">
      <c r="G367" s="20"/>
      <c r="L367" s="21"/>
    </row>
    <row r="368" customFormat="false" ht="12" hidden="false" customHeight="true" outlineLevel="0" collapsed="false">
      <c r="G368" s="20"/>
      <c r="L368" s="21"/>
    </row>
    <row r="369" customFormat="false" ht="12" hidden="false" customHeight="true" outlineLevel="0" collapsed="false">
      <c r="G369" s="20"/>
      <c r="L369" s="21"/>
    </row>
    <row r="370" customFormat="false" ht="12" hidden="false" customHeight="true" outlineLevel="0" collapsed="false">
      <c r="G370" s="20"/>
      <c r="L370" s="21"/>
    </row>
    <row r="371" customFormat="false" ht="12" hidden="false" customHeight="true" outlineLevel="0" collapsed="false">
      <c r="G371" s="20"/>
      <c r="L371" s="21"/>
    </row>
    <row r="372" customFormat="false" ht="12" hidden="false" customHeight="true" outlineLevel="0" collapsed="false">
      <c r="G372" s="20"/>
      <c r="L372" s="21"/>
    </row>
    <row r="373" customFormat="false" ht="12" hidden="false" customHeight="true" outlineLevel="0" collapsed="false">
      <c r="G373" s="20"/>
      <c r="L373" s="21"/>
    </row>
    <row r="374" customFormat="false" ht="12" hidden="false" customHeight="true" outlineLevel="0" collapsed="false">
      <c r="G374" s="20"/>
      <c r="L374" s="21"/>
    </row>
    <row r="375" customFormat="false" ht="12" hidden="false" customHeight="true" outlineLevel="0" collapsed="false">
      <c r="G375" s="20"/>
      <c r="L375" s="21"/>
    </row>
    <row r="376" customFormat="false" ht="12" hidden="false" customHeight="true" outlineLevel="0" collapsed="false">
      <c r="G376" s="20"/>
      <c r="L376" s="21"/>
    </row>
    <row r="377" customFormat="false" ht="12" hidden="false" customHeight="true" outlineLevel="0" collapsed="false">
      <c r="G377" s="20"/>
      <c r="L377" s="21"/>
    </row>
    <row r="378" customFormat="false" ht="12" hidden="false" customHeight="true" outlineLevel="0" collapsed="false">
      <c r="G378" s="20"/>
      <c r="L378" s="21"/>
    </row>
    <row r="379" customFormat="false" ht="12" hidden="false" customHeight="true" outlineLevel="0" collapsed="false">
      <c r="G379" s="20"/>
      <c r="L379" s="21"/>
    </row>
    <row r="380" customFormat="false" ht="12" hidden="false" customHeight="true" outlineLevel="0" collapsed="false">
      <c r="G380" s="20"/>
      <c r="L380" s="21"/>
    </row>
    <row r="381" customFormat="false" ht="12" hidden="false" customHeight="true" outlineLevel="0" collapsed="false">
      <c r="G381" s="20"/>
      <c r="L381" s="21"/>
    </row>
    <row r="382" customFormat="false" ht="12" hidden="false" customHeight="true" outlineLevel="0" collapsed="false">
      <c r="G382" s="20"/>
      <c r="L382" s="21"/>
    </row>
    <row r="383" customFormat="false" ht="12" hidden="false" customHeight="true" outlineLevel="0" collapsed="false">
      <c r="G383" s="20"/>
      <c r="L383" s="21"/>
    </row>
    <row r="384" customFormat="false" ht="12" hidden="false" customHeight="true" outlineLevel="0" collapsed="false">
      <c r="G384" s="20"/>
      <c r="L384" s="21"/>
    </row>
    <row r="385" customFormat="false" ht="12" hidden="false" customHeight="true" outlineLevel="0" collapsed="false">
      <c r="G385" s="20"/>
      <c r="L385" s="21"/>
    </row>
    <row r="386" customFormat="false" ht="12" hidden="false" customHeight="true" outlineLevel="0" collapsed="false">
      <c r="G386" s="20"/>
      <c r="L386" s="21"/>
    </row>
    <row r="387" customFormat="false" ht="12" hidden="false" customHeight="true" outlineLevel="0" collapsed="false">
      <c r="G387" s="20"/>
      <c r="L387" s="21"/>
    </row>
    <row r="388" customFormat="false" ht="12" hidden="false" customHeight="true" outlineLevel="0" collapsed="false">
      <c r="G388" s="20"/>
      <c r="L388" s="21"/>
    </row>
    <row r="389" customFormat="false" ht="12" hidden="false" customHeight="true" outlineLevel="0" collapsed="false">
      <c r="G389" s="20"/>
      <c r="L389" s="21"/>
    </row>
    <row r="390" customFormat="false" ht="12" hidden="false" customHeight="true" outlineLevel="0" collapsed="false">
      <c r="G390" s="20"/>
      <c r="L390" s="21"/>
    </row>
    <row r="391" customFormat="false" ht="12" hidden="false" customHeight="true" outlineLevel="0" collapsed="false">
      <c r="G391" s="20"/>
      <c r="L391" s="21"/>
    </row>
    <row r="392" customFormat="false" ht="12" hidden="false" customHeight="true" outlineLevel="0" collapsed="false">
      <c r="G392" s="20"/>
      <c r="L392" s="21"/>
    </row>
    <row r="393" customFormat="false" ht="12" hidden="false" customHeight="true" outlineLevel="0" collapsed="false">
      <c r="G393" s="20"/>
      <c r="L393" s="21"/>
    </row>
    <row r="394" customFormat="false" ht="12" hidden="false" customHeight="true" outlineLevel="0" collapsed="false">
      <c r="G394" s="20"/>
      <c r="L394" s="21"/>
    </row>
    <row r="395" customFormat="false" ht="12" hidden="false" customHeight="true" outlineLevel="0" collapsed="false">
      <c r="G395" s="20"/>
      <c r="L395" s="21"/>
    </row>
    <row r="396" customFormat="false" ht="12" hidden="false" customHeight="true" outlineLevel="0" collapsed="false">
      <c r="G396" s="20"/>
      <c r="L396" s="21"/>
    </row>
    <row r="397" customFormat="false" ht="12" hidden="false" customHeight="true" outlineLevel="0" collapsed="false">
      <c r="G397" s="20"/>
      <c r="L397" s="21"/>
    </row>
    <row r="398" customFormat="false" ht="12" hidden="false" customHeight="true" outlineLevel="0" collapsed="false">
      <c r="G398" s="20"/>
      <c r="L398" s="21"/>
    </row>
    <row r="399" customFormat="false" ht="12" hidden="false" customHeight="true" outlineLevel="0" collapsed="false">
      <c r="G399" s="20"/>
      <c r="L399" s="21"/>
    </row>
    <row r="400" customFormat="false" ht="12" hidden="false" customHeight="true" outlineLevel="0" collapsed="false">
      <c r="G400" s="20"/>
      <c r="L400" s="21"/>
    </row>
    <row r="401" customFormat="false" ht="12" hidden="false" customHeight="true" outlineLevel="0" collapsed="false">
      <c r="G401" s="20"/>
      <c r="L401" s="21"/>
    </row>
    <row r="402" customFormat="false" ht="12" hidden="false" customHeight="true" outlineLevel="0" collapsed="false">
      <c r="G402" s="20"/>
      <c r="L402" s="21"/>
    </row>
    <row r="403" customFormat="false" ht="12" hidden="false" customHeight="true" outlineLevel="0" collapsed="false">
      <c r="G403" s="20"/>
      <c r="L403" s="21"/>
    </row>
    <row r="404" customFormat="false" ht="12" hidden="false" customHeight="true" outlineLevel="0" collapsed="false">
      <c r="G404" s="20"/>
      <c r="L404" s="21"/>
    </row>
    <row r="405" customFormat="false" ht="12" hidden="false" customHeight="true" outlineLevel="0" collapsed="false">
      <c r="G405" s="20"/>
      <c r="L405" s="21"/>
    </row>
    <row r="406" customFormat="false" ht="12" hidden="false" customHeight="true" outlineLevel="0" collapsed="false">
      <c r="G406" s="20"/>
      <c r="L406" s="21"/>
    </row>
    <row r="407" customFormat="false" ht="12" hidden="false" customHeight="true" outlineLevel="0" collapsed="false">
      <c r="G407" s="20"/>
      <c r="L407" s="21"/>
    </row>
    <row r="408" customFormat="false" ht="12" hidden="false" customHeight="true" outlineLevel="0" collapsed="false">
      <c r="G408" s="20"/>
      <c r="L408" s="21"/>
    </row>
    <row r="409" customFormat="false" ht="12" hidden="false" customHeight="true" outlineLevel="0" collapsed="false">
      <c r="G409" s="20"/>
      <c r="L409" s="21"/>
    </row>
    <row r="410" customFormat="false" ht="12" hidden="false" customHeight="true" outlineLevel="0" collapsed="false">
      <c r="G410" s="20"/>
      <c r="L410" s="21"/>
    </row>
    <row r="411" customFormat="false" ht="12" hidden="false" customHeight="true" outlineLevel="0" collapsed="false">
      <c r="G411" s="20"/>
      <c r="L411" s="21"/>
    </row>
    <row r="412" customFormat="false" ht="12" hidden="false" customHeight="true" outlineLevel="0" collapsed="false">
      <c r="G412" s="20"/>
      <c r="L412" s="21"/>
    </row>
    <row r="413" customFormat="false" ht="12" hidden="false" customHeight="true" outlineLevel="0" collapsed="false">
      <c r="G413" s="20"/>
      <c r="L413" s="21"/>
    </row>
    <row r="414" customFormat="false" ht="12" hidden="false" customHeight="true" outlineLevel="0" collapsed="false">
      <c r="G414" s="20"/>
      <c r="L414" s="21"/>
    </row>
    <row r="415" customFormat="false" ht="12" hidden="false" customHeight="true" outlineLevel="0" collapsed="false">
      <c r="G415" s="20"/>
      <c r="L415" s="21"/>
    </row>
    <row r="416" customFormat="false" ht="12" hidden="false" customHeight="true" outlineLevel="0" collapsed="false">
      <c r="G416" s="20"/>
      <c r="L416" s="21"/>
    </row>
    <row r="417" customFormat="false" ht="12" hidden="false" customHeight="true" outlineLevel="0" collapsed="false">
      <c r="G417" s="20"/>
      <c r="L417" s="21"/>
    </row>
    <row r="418" customFormat="false" ht="12" hidden="false" customHeight="true" outlineLevel="0" collapsed="false">
      <c r="G418" s="20"/>
      <c r="L418" s="21"/>
    </row>
    <row r="419" customFormat="false" ht="12" hidden="false" customHeight="true" outlineLevel="0" collapsed="false">
      <c r="G419" s="20"/>
      <c r="L419" s="21"/>
    </row>
    <row r="420" customFormat="false" ht="12" hidden="false" customHeight="true" outlineLevel="0" collapsed="false">
      <c r="G420" s="20"/>
      <c r="L420" s="21"/>
    </row>
    <row r="421" customFormat="false" ht="12" hidden="false" customHeight="true" outlineLevel="0" collapsed="false">
      <c r="G421" s="20"/>
      <c r="L421" s="21"/>
    </row>
    <row r="422" customFormat="false" ht="12" hidden="false" customHeight="true" outlineLevel="0" collapsed="false">
      <c r="G422" s="20"/>
      <c r="L422" s="21"/>
    </row>
    <row r="423" customFormat="false" ht="12" hidden="false" customHeight="true" outlineLevel="0" collapsed="false">
      <c r="G423" s="20"/>
      <c r="L423" s="21"/>
    </row>
    <row r="424" customFormat="false" ht="12" hidden="false" customHeight="true" outlineLevel="0" collapsed="false">
      <c r="G424" s="20"/>
      <c r="L424" s="21"/>
    </row>
    <row r="425" customFormat="false" ht="12" hidden="false" customHeight="true" outlineLevel="0" collapsed="false">
      <c r="G425" s="20"/>
      <c r="L425" s="21"/>
    </row>
    <row r="426" customFormat="false" ht="12" hidden="false" customHeight="true" outlineLevel="0" collapsed="false">
      <c r="G426" s="20"/>
      <c r="L426" s="21"/>
    </row>
    <row r="427" customFormat="false" ht="12" hidden="false" customHeight="true" outlineLevel="0" collapsed="false">
      <c r="G427" s="20"/>
      <c r="L427" s="21"/>
    </row>
    <row r="428" customFormat="false" ht="12" hidden="false" customHeight="true" outlineLevel="0" collapsed="false">
      <c r="G428" s="20"/>
      <c r="L428" s="21"/>
    </row>
    <row r="429" customFormat="false" ht="12" hidden="false" customHeight="true" outlineLevel="0" collapsed="false">
      <c r="G429" s="20"/>
      <c r="L429" s="21"/>
    </row>
    <row r="430" customFormat="false" ht="12" hidden="false" customHeight="true" outlineLevel="0" collapsed="false">
      <c r="G430" s="20"/>
      <c r="L430" s="21"/>
    </row>
    <row r="431" customFormat="false" ht="12" hidden="false" customHeight="true" outlineLevel="0" collapsed="false">
      <c r="G431" s="20"/>
      <c r="L431" s="21"/>
    </row>
    <row r="432" customFormat="false" ht="12" hidden="false" customHeight="true" outlineLevel="0" collapsed="false">
      <c r="G432" s="20"/>
      <c r="L432" s="21"/>
    </row>
    <row r="433" customFormat="false" ht="12" hidden="false" customHeight="true" outlineLevel="0" collapsed="false">
      <c r="G433" s="20"/>
      <c r="L433" s="21"/>
    </row>
    <row r="434" customFormat="false" ht="12" hidden="false" customHeight="true" outlineLevel="0" collapsed="false">
      <c r="G434" s="20"/>
      <c r="L434" s="21"/>
    </row>
    <row r="435" customFormat="false" ht="12" hidden="false" customHeight="true" outlineLevel="0" collapsed="false">
      <c r="G435" s="20"/>
      <c r="L435" s="21"/>
    </row>
    <row r="436" customFormat="false" ht="12" hidden="false" customHeight="true" outlineLevel="0" collapsed="false">
      <c r="G436" s="20"/>
      <c r="L436" s="21"/>
    </row>
    <row r="437" customFormat="false" ht="12" hidden="false" customHeight="true" outlineLevel="0" collapsed="false">
      <c r="G437" s="20"/>
      <c r="L437" s="21"/>
    </row>
    <row r="438" customFormat="false" ht="12" hidden="false" customHeight="true" outlineLevel="0" collapsed="false">
      <c r="G438" s="20"/>
      <c r="L438" s="21"/>
    </row>
    <row r="439" customFormat="false" ht="12" hidden="false" customHeight="true" outlineLevel="0" collapsed="false">
      <c r="G439" s="20"/>
      <c r="L439" s="21"/>
    </row>
    <row r="440" customFormat="false" ht="12" hidden="false" customHeight="true" outlineLevel="0" collapsed="false">
      <c r="G440" s="20"/>
      <c r="L440" s="21"/>
    </row>
    <row r="441" customFormat="false" ht="12" hidden="false" customHeight="true" outlineLevel="0" collapsed="false">
      <c r="G441" s="20"/>
      <c r="L441" s="21"/>
    </row>
    <row r="442" customFormat="false" ht="12" hidden="false" customHeight="true" outlineLevel="0" collapsed="false">
      <c r="G442" s="20"/>
      <c r="L442" s="21"/>
    </row>
    <row r="443" customFormat="false" ht="12" hidden="false" customHeight="true" outlineLevel="0" collapsed="false">
      <c r="G443" s="20"/>
      <c r="L443" s="21"/>
    </row>
    <row r="444" customFormat="false" ht="12" hidden="false" customHeight="true" outlineLevel="0" collapsed="false">
      <c r="G444" s="20"/>
      <c r="L444" s="21"/>
    </row>
    <row r="445" customFormat="false" ht="12" hidden="false" customHeight="true" outlineLevel="0" collapsed="false">
      <c r="G445" s="20"/>
      <c r="L445" s="21"/>
    </row>
    <row r="446" customFormat="false" ht="12" hidden="false" customHeight="true" outlineLevel="0" collapsed="false">
      <c r="G446" s="20"/>
      <c r="L446" s="21"/>
    </row>
    <row r="447" customFormat="false" ht="12" hidden="false" customHeight="true" outlineLevel="0" collapsed="false">
      <c r="G447" s="20"/>
      <c r="L447" s="21"/>
    </row>
    <row r="448" customFormat="false" ht="12" hidden="false" customHeight="true" outlineLevel="0" collapsed="false">
      <c r="G448" s="20"/>
      <c r="L448" s="21"/>
    </row>
    <row r="449" customFormat="false" ht="12" hidden="false" customHeight="true" outlineLevel="0" collapsed="false">
      <c r="G449" s="20"/>
      <c r="L449" s="21"/>
    </row>
    <row r="450" customFormat="false" ht="12" hidden="false" customHeight="true" outlineLevel="0" collapsed="false">
      <c r="G450" s="20"/>
      <c r="L450" s="21"/>
    </row>
    <row r="451" customFormat="false" ht="12" hidden="false" customHeight="true" outlineLevel="0" collapsed="false">
      <c r="G451" s="20"/>
      <c r="L451" s="21"/>
    </row>
    <row r="452" customFormat="false" ht="12" hidden="false" customHeight="true" outlineLevel="0" collapsed="false">
      <c r="G452" s="20"/>
      <c r="L452" s="21"/>
    </row>
    <row r="453" customFormat="false" ht="12" hidden="false" customHeight="true" outlineLevel="0" collapsed="false">
      <c r="G453" s="20"/>
      <c r="L453" s="21"/>
    </row>
    <row r="454" customFormat="false" ht="12" hidden="false" customHeight="true" outlineLevel="0" collapsed="false">
      <c r="G454" s="20"/>
      <c r="L454" s="21"/>
    </row>
    <row r="455" customFormat="false" ht="12" hidden="false" customHeight="true" outlineLevel="0" collapsed="false">
      <c r="G455" s="20"/>
      <c r="L455" s="21"/>
    </row>
    <row r="456" customFormat="false" ht="12" hidden="false" customHeight="true" outlineLevel="0" collapsed="false">
      <c r="G456" s="20"/>
      <c r="L456" s="21"/>
    </row>
    <row r="457" customFormat="false" ht="12" hidden="false" customHeight="true" outlineLevel="0" collapsed="false">
      <c r="G457" s="20"/>
      <c r="L457" s="21"/>
    </row>
    <row r="458" customFormat="false" ht="12" hidden="false" customHeight="true" outlineLevel="0" collapsed="false">
      <c r="G458" s="20"/>
      <c r="L458" s="21"/>
    </row>
    <row r="459" customFormat="false" ht="12" hidden="false" customHeight="true" outlineLevel="0" collapsed="false">
      <c r="G459" s="20"/>
      <c r="L459" s="21"/>
    </row>
    <row r="460" customFormat="false" ht="12" hidden="false" customHeight="true" outlineLevel="0" collapsed="false">
      <c r="G460" s="20"/>
      <c r="L460" s="21"/>
    </row>
    <row r="461" customFormat="false" ht="12" hidden="false" customHeight="true" outlineLevel="0" collapsed="false">
      <c r="G461" s="20"/>
      <c r="L461" s="21"/>
    </row>
    <row r="462" customFormat="false" ht="12" hidden="false" customHeight="true" outlineLevel="0" collapsed="false">
      <c r="G462" s="20"/>
      <c r="L462" s="21"/>
    </row>
    <row r="463" customFormat="false" ht="12" hidden="false" customHeight="true" outlineLevel="0" collapsed="false">
      <c r="G463" s="20"/>
      <c r="L463" s="21"/>
    </row>
    <row r="464" customFormat="false" ht="12" hidden="false" customHeight="true" outlineLevel="0" collapsed="false">
      <c r="G464" s="20"/>
      <c r="L464" s="21"/>
    </row>
    <row r="465" customFormat="false" ht="12" hidden="false" customHeight="true" outlineLevel="0" collapsed="false">
      <c r="G465" s="20"/>
      <c r="L465" s="21"/>
    </row>
    <row r="466" customFormat="false" ht="12" hidden="false" customHeight="true" outlineLevel="0" collapsed="false">
      <c r="G466" s="20"/>
      <c r="L466" s="21"/>
    </row>
    <row r="467" customFormat="false" ht="12" hidden="false" customHeight="true" outlineLevel="0" collapsed="false">
      <c r="G467" s="20"/>
      <c r="L467" s="21"/>
    </row>
    <row r="468" customFormat="false" ht="12" hidden="false" customHeight="true" outlineLevel="0" collapsed="false">
      <c r="G468" s="20"/>
      <c r="L468" s="21"/>
    </row>
    <row r="469" customFormat="false" ht="12" hidden="false" customHeight="true" outlineLevel="0" collapsed="false">
      <c r="G469" s="20"/>
      <c r="L469" s="21"/>
    </row>
    <row r="470" customFormat="false" ht="12" hidden="false" customHeight="true" outlineLevel="0" collapsed="false">
      <c r="G470" s="20"/>
      <c r="L470" s="21"/>
    </row>
    <row r="471" customFormat="false" ht="12" hidden="false" customHeight="true" outlineLevel="0" collapsed="false">
      <c r="G471" s="20"/>
      <c r="L471" s="21"/>
    </row>
    <row r="472" customFormat="false" ht="12" hidden="false" customHeight="true" outlineLevel="0" collapsed="false">
      <c r="G472" s="20"/>
      <c r="L472" s="21"/>
    </row>
    <row r="473" customFormat="false" ht="12" hidden="false" customHeight="true" outlineLevel="0" collapsed="false">
      <c r="G473" s="20"/>
      <c r="L473" s="21"/>
    </row>
    <row r="474" customFormat="false" ht="12" hidden="false" customHeight="true" outlineLevel="0" collapsed="false">
      <c r="G474" s="20"/>
      <c r="L474" s="21"/>
    </row>
    <row r="475" customFormat="false" ht="12" hidden="false" customHeight="true" outlineLevel="0" collapsed="false">
      <c r="G475" s="20"/>
      <c r="L475" s="21"/>
    </row>
    <row r="476" customFormat="false" ht="12" hidden="false" customHeight="true" outlineLevel="0" collapsed="false">
      <c r="G476" s="20"/>
      <c r="L476" s="21"/>
    </row>
    <row r="477" customFormat="false" ht="12" hidden="false" customHeight="true" outlineLevel="0" collapsed="false">
      <c r="G477" s="20"/>
      <c r="L477" s="21"/>
    </row>
    <row r="478" customFormat="false" ht="12" hidden="false" customHeight="true" outlineLevel="0" collapsed="false">
      <c r="G478" s="20"/>
      <c r="L478" s="21"/>
    </row>
    <row r="479" customFormat="false" ht="12" hidden="false" customHeight="true" outlineLevel="0" collapsed="false">
      <c r="G479" s="20"/>
      <c r="L479" s="21"/>
    </row>
    <row r="480" customFormat="false" ht="12" hidden="false" customHeight="true" outlineLevel="0" collapsed="false">
      <c r="G480" s="20"/>
      <c r="L480" s="21"/>
    </row>
    <row r="481" customFormat="false" ht="12" hidden="false" customHeight="true" outlineLevel="0" collapsed="false">
      <c r="G481" s="20"/>
      <c r="L481" s="21"/>
    </row>
    <row r="482" customFormat="false" ht="12" hidden="false" customHeight="true" outlineLevel="0" collapsed="false">
      <c r="G482" s="20"/>
      <c r="L482" s="21"/>
    </row>
    <row r="483" customFormat="false" ht="12" hidden="false" customHeight="true" outlineLevel="0" collapsed="false">
      <c r="G483" s="20"/>
      <c r="L483" s="21"/>
    </row>
    <row r="484" customFormat="false" ht="12" hidden="false" customHeight="true" outlineLevel="0" collapsed="false">
      <c r="G484" s="20"/>
      <c r="L484" s="21"/>
    </row>
    <row r="485" customFormat="false" ht="12" hidden="false" customHeight="true" outlineLevel="0" collapsed="false">
      <c r="G485" s="20"/>
      <c r="L485" s="21"/>
    </row>
    <row r="486" customFormat="false" ht="12" hidden="false" customHeight="true" outlineLevel="0" collapsed="false">
      <c r="G486" s="20"/>
      <c r="L486" s="21"/>
    </row>
    <row r="487" customFormat="false" ht="12" hidden="false" customHeight="true" outlineLevel="0" collapsed="false">
      <c r="G487" s="20"/>
      <c r="L487" s="21"/>
    </row>
    <row r="488" customFormat="false" ht="12" hidden="false" customHeight="true" outlineLevel="0" collapsed="false">
      <c r="G488" s="20"/>
      <c r="L488" s="21"/>
    </row>
    <row r="489" customFormat="false" ht="12" hidden="false" customHeight="true" outlineLevel="0" collapsed="false">
      <c r="G489" s="20"/>
      <c r="L489" s="21"/>
    </row>
    <row r="490" customFormat="false" ht="12" hidden="false" customHeight="true" outlineLevel="0" collapsed="false">
      <c r="G490" s="20"/>
      <c r="L490" s="21"/>
    </row>
    <row r="491" customFormat="false" ht="12" hidden="false" customHeight="true" outlineLevel="0" collapsed="false">
      <c r="G491" s="20"/>
      <c r="L491" s="21"/>
    </row>
    <row r="492" customFormat="false" ht="12" hidden="false" customHeight="true" outlineLevel="0" collapsed="false">
      <c r="G492" s="20"/>
      <c r="L492" s="21"/>
    </row>
    <row r="493" customFormat="false" ht="12" hidden="false" customHeight="true" outlineLevel="0" collapsed="false">
      <c r="G493" s="20"/>
      <c r="L493" s="21"/>
    </row>
    <row r="494" customFormat="false" ht="12" hidden="false" customHeight="true" outlineLevel="0" collapsed="false">
      <c r="G494" s="20"/>
      <c r="L494" s="21"/>
    </row>
    <row r="495" customFormat="false" ht="12" hidden="false" customHeight="true" outlineLevel="0" collapsed="false">
      <c r="G495" s="20"/>
      <c r="L495" s="21"/>
    </row>
    <row r="496" customFormat="false" ht="12" hidden="false" customHeight="true" outlineLevel="0" collapsed="false">
      <c r="G496" s="20"/>
      <c r="L496" s="21"/>
    </row>
    <row r="497" customFormat="false" ht="12" hidden="false" customHeight="true" outlineLevel="0" collapsed="false">
      <c r="G497" s="20"/>
      <c r="L497" s="21"/>
    </row>
    <row r="498" customFormat="false" ht="12" hidden="false" customHeight="true" outlineLevel="0" collapsed="false">
      <c r="G498" s="20"/>
      <c r="L498" s="21"/>
    </row>
    <row r="499" customFormat="false" ht="12" hidden="false" customHeight="true" outlineLevel="0" collapsed="false">
      <c r="G499" s="20"/>
      <c r="L499" s="21"/>
    </row>
    <row r="500" customFormat="false" ht="12" hidden="false" customHeight="true" outlineLevel="0" collapsed="false">
      <c r="G500" s="20"/>
      <c r="L500" s="21"/>
    </row>
    <row r="501" customFormat="false" ht="12" hidden="false" customHeight="true" outlineLevel="0" collapsed="false">
      <c r="G501" s="20"/>
      <c r="L501" s="21"/>
    </row>
    <row r="502" customFormat="false" ht="12" hidden="false" customHeight="true" outlineLevel="0" collapsed="false">
      <c r="G502" s="20"/>
      <c r="L502" s="21"/>
    </row>
    <row r="503" customFormat="false" ht="12" hidden="false" customHeight="true" outlineLevel="0" collapsed="false">
      <c r="G503" s="20"/>
      <c r="L503" s="21"/>
    </row>
    <row r="504" customFormat="false" ht="12" hidden="false" customHeight="true" outlineLevel="0" collapsed="false">
      <c r="G504" s="20"/>
      <c r="L504" s="21"/>
    </row>
    <row r="505" customFormat="false" ht="12" hidden="false" customHeight="true" outlineLevel="0" collapsed="false">
      <c r="G505" s="20"/>
      <c r="L505" s="21"/>
    </row>
    <row r="506" customFormat="false" ht="12" hidden="false" customHeight="true" outlineLevel="0" collapsed="false">
      <c r="G506" s="20"/>
      <c r="L506" s="21"/>
    </row>
    <row r="507" customFormat="false" ht="12" hidden="false" customHeight="true" outlineLevel="0" collapsed="false">
      <c r="G507" s="20"/>
      <c r="L507" s="21"/>
    </row>
    <row r="508" customFormat="false" ht="12" hidden="false" customHeight="true" outlineLevel="0" collapsed="false">
      <c r="G508" s="20"/>
      <c r="L508" s="21"/>
    </row>
    <row r="509" customFormat="false" ht="12" hidden="false" customHeight="true" outlineLevel="0" collapsed="false">
      <c r="G509" s="20"/>
      <c r="L509" s="21"/>
    </row>
    <row r="510" customFormat="false" ht="12" hidden="false" customHeight="true" outlineLevel="0" collapsed="false">
      <c r="G510" s="20"/>
      <c r="L510" s="21"/>
    </row>
    <row r="511" customFormat="false" ht="12" hidden="false" customHeight="true" outlineLevel="0" collapsed="false">
      <c r="G511" s="20"/>
      <c r="L511" s="21"/>
    </row>
    <row r="512" customFormat="false" ht="12" hidden="false" customHeight="true" outlineLevel="0" collapsed="false">
      <c r="G512" s="20"/>
      <c r="L512" s="21"/>
    </row>
    <row r="513" customFormat="false" ht="12" hidden="false" customHeight="true" outlineLevel="0" collapsed="false">
      <c r="G513" s="20"/>
      <c r="L513" s="21"/>
    </row>
    <row r="514" customFormat="false" ht="12" hidden="false" customHeight="true" outlineLevel="0" collapsed="false">
      <c r="G514" s="20"/>
      <c r="L514" s="21"/>
    </row>
    <row r="515" customFormat="false" ht="12" hidden="false" customHeight="true" outlineLevel="0" collapsed="false">
      <c r="G515" s="20"/>
      <c r="L515" s="21"/>
    </row>
    <row r="516" customFormat="false" ht="12" hidden="false" customHeight="true" outlineLevel="0" collapsed="false">
      <c r="G516" s="20"/>
      <c r="L516" s="21"/>
    </row>
    <row r="517" customFormat="false" ht="12" hidden="false" customHeight="true" outlineLevel="0" collapsed="false">
      <c r="G517" s="20"/>
      <c r="L517" s="21"/>
    </row>
    <row r="518" customFormat="false" ht="12" hidden="false" customHeight="true" outlineLevel="0" collapsed="false">
      <c r="G518" s="20"/>
      <c r="L518" s="21"/>
    </row>
    <row r="519" customFormat="false" ht="12" hidden="false" customHeight="true" outlineLevel="0" collapsed="false">
      <c r="G519" s="20"/>
      <c r="L519" s="21"/>
    </row>
    <row r="520" customFormat="false" ht="12" hidden="false" customHeight="true" outlineLevel="0" collapsed="false">
      <c r="G520" s="20"/>
      <c r="L520" s="21"/>
    </row>
    <row r="521" customFormat="false" ht="12" hidden="false" customHeight="true" outlineLevel="0" collapsed="false">
      <c r="G521" s="20"/>
      <c r="L521" s="21"/>
    </row>
    <row r="522" customFormat="false" ht="12" hidden="false" customHeight="true" outlineLevel="0" collapsed="false">
      <c r="G522" s="20"/>
      <c r="L522" s="21"/>
    </row>
    <row r="523" customFormat="false" ht="12" hidden="false" customHeight="true" outlineLevel="0" collapsed="false">
      <c r="G523" s="20"/>
      <c r="L523" s="21"/>
    </row>
    <row r="524" customFormat="false" ht="12" hidden="false" customHeight="true" outlineLevel="0" collapsed="false">
      <c r="G524" s="20"/>
      <c r="L524" s="21"/>
    </row>
    <row r="525" customFormat="false" ht="12" hidden="false" customHeight="true" outlineLevel="0" collapsed="false">
      <c r="G525" s="20"/>
      <c r="L525" s="21"/>
    </row>
    <row r="526" customFormat="false" ht="12" hidden="false" customHeight="true" outlineLevel="0" collapsed="false">
      <c r="G526" s="20"/>
      <c r="L526" s="21"/>
    </row>
    <row r="527" customFormat="false" ht="12" hidden="false" customHeight="true" outlineLevel="0" collapsed="false">
      <c r="G527" s="20"/>
      <c r="L527" s="21"/>
    </row>
    <row r="528" customFormat="false" ht="12" hidden="false" customHeight="true" outlineLevel="0" collapsed="false">
      <c r="G528" s="20"/>
      <c r="L528" s="21"/>
    </row>
    <row r="529" customFormat="false" ht="12" hidden="false" customHeight="true" outlineLevel="0" collapsed="false">
      <c r="G529" s="20"/>
      <c r="L529" s="21"/>
    </row>
    <row r="530" customFormat="false" ht="12" hidden="false" customHeight="true" outlineLevel="0" collapsed="false">
      <c r="G530" s="20"/>
      <c r="L530" s="21"/>
    </row>
    <row r="531" customFormat="false" ht="12" hidden="false" customHeight="true" outlineLevel="0" collapsed="false">
      <c r="G531" s="20"/>
      <c r="L531" s="21"/>
    </row>
    <row r="532" customFormat="false" ht="12" hidden="false" customHeight="true" outlineLevel="0" collapsed="false">
      <c r="G532" s="20"/>
      <c r="L532" s="21"/>
    </row>
    <row r="533" customFormat="false" ht="12" hidden="false" customHeight="true" outlineLevel="0" collapsed="false">
      <c r="G533" s="20"/>
      <c r="L533" s="21"/>
    </row>
    <row r="534" customFormat="false" ht="12" hidden="false" customHeight="true" outlineLevel="0" collapsed="false">
      <c r="G534" s="20"/>
      <c r="L534" s="21"/>
    </row>
    <row r="535" customFormat="false" ht="12" hidden="false" customHeight="true" outlineLevel="0" collapsed="false">
      <c r="G535" s="20"/>
      <c r="L535" s="21"/>
    </row>
    <row r="536" customFormat="false" ht="12" hidden="false" customHeight="true" outlineLevel="0" collapsed="false">
      <c r="G536" s="20"/>
      <c r="L536" s="21"/>
    </row>
    <row r="537" customFormat="false" ht="12" hidden="false" customHeight="true" outlineLevel="0" collapsed="false">
      <c r="G537" s="20"/>
      <c r="L537" s="21"/>
    </row>
    <row r="538" customFormat="false" ht="12" hidden="false" customHeight="true" outlineLevel="0" collapsed="false">
      <c r="G538" s="20"/>
      <c r="L538" s="21"/>
    </row>
    <row r="539" customFormat="false" ht="12" hidden="false" customHeight="true" outlineLevel="0" collapsed="false">
      <c r="G539" s="20"/>
      <c r="L539" s="21"/>
    </row>
    <row r="540" customFormat="false" ht="12" hidden="false" customHeight="true" outlineLevel="0" collapsed="false">
      <c r="G540" s="20"/>
      <c r="L540" s="21"/>
    </row>
    <row r="541" customFormat="false" ht="12" hidden="false" customHeight="true" outlineLevel="0" collapsed="false">
      <c r="G541" s="20"/>
      <c r="L541" s="21"/>
    </row>
    <row r="542" customFormat="false" ht="12" hidden="false" customHeight="true" outlineLevel="0" collapsed="false">
      <c r="G542" s="20"/>
      <c r="L542" s="21"/>
    </row>
    <row r="543" customFormat="false" ht="12" hidden="false" customHeight="true" outlineLevel="0" collapsed="false">
      <c r="G543" s="20"/>
      <c r="L543" s="21"/>
    </row>
    <row r="544" customFormat="false" ht="12" hidden="false" customHeight="true" outlineLevel="0" collapsed="false">
      <c r="G544" s="20"/>
      <c r="L544" s="21"/>
    </row>
    <row r="545" customFormat="false" ht="12" hidden="false" customHeight="true" outlineLevel="0" collapsed="false">
      <c r="G545" s="20"/>
      <c r="L545" s="21"/>
    </row>
    <row r="546" customFormat="false" ht="12" hidden="false" customHeight="true" outlineLevel="0" collapsed="false">
      <c r="G546" s="20"/>
      <c r="L546" s="21"/>
    </row>
    <row r="547" customFormat="false" ht="12" hidden="false" customHeight="true" outlineLevel="0" collapsed="false">
      <c r="G547" s="20"/>
      <c r="L547" s="21"/>
    </row>
    <row r="548" customFormat="false" ht="12" hidden="false" customHeight="true" outlineLevel="0" collapsed="false">
      <c r="G548" s="20"/>
      <c r="L548" s="21"/>
    </row>
    <row r="549" customFormat="false" ht="12" hidden="false" customHeight="true" outlineLevel="0" collapsed="false">
      <c r="G549" s="20"/>
      <c r="L549" s="21"/>
    </row>
    <row r="550" customFormat="false" ht="12" hidden="false" customHeight="true" outlineLevel="0" collapsed="false">
      <c r="G550" s="20"/>
      <c r="L550" s="21"/>
    </row>
    <row r="551" customFormat="false" ht="12" hidden="false" customHeight="true" outlineLevel="0" collapsed="false">
      <c r="G551" s="20"/>
      <c r="L551" s="21"/>
    </row>
    <row r="552" customFormat="false" ht="12" hidden="false" customHeight="true" outlineLevel="0" collapsed="false">
      <c r="G552" s="20"/>
      <c r="L552" s="21"/>
    </row>
    <row r="553" customFormat="false" ht="12" hidden="false" customHeight="true" outlineLevel="0" collapsed="false">
      <c r="G553" s="20"/>
      <c r="L553" s="21"/>
    </row>
    <row r="554" customFormat="false" ht="12" hidden="false" customHeight="true" outlineLevel="0" collapsed="false">
      <c r="G554" s="20"/>
      <c r="L554" s="21"/>
    </row>
    <row r="555" customFormat="false" ht="12" hidden="false" customHeight="true" outlineLevel="0" collapsed="false">
      <c r="G555" s="20"/>
      <c r="L555" s="21"/>
    </row>
    <row r="556" customFormat="false" ht="12" hidden="false" customHeight="true" outlineLevel="0" collapsed="false">
      <c r="G556" s="20"/>
      <c r="L556" s="21"/>
    </row>
    <row r="557" customFormat="false" ht="12" hidden="false" customHeight="true" outlineLevel="0" collapsed="false">
      <c r="G557" s="20"/>
      <c r="L557" s="21"/>
    </row>
    <row r="558" customFormat="false" ht="12" hidden="false" customHeight="true" outlineLevel="0" collapsed="false">
      <c r="G558" s="20"/>
      <c r="L558" s="21"/>
    </row>
    <row r="559" customFormat="false" ht="12" hidden="false" customHeight="true" outlineLevel="0" collapsed="false">
      <c r="G559" s="20"/>
      <c r="L559" s="21"/>
    </row>
    <row r="560" customFormat="false" ht="12" hidden="false" customHeight="true" outlineLevel="0" collapsed="false">
      <c r="G560" s="20"/>
      <c r="L560" s="21"/>
    </row>
    <row r="561" customFormat="false" ht="12" hidden="false" customHeight="true" outlineLevel="0" collapsed="false">
      <c r="G561" s="20"/>
      <c r="L561" s="21"/>
    </row>
    <row r="562" customFormat="false" ht="12" hidden="false" customHeight="true" outlineLevel="0" collapsed="false">
      <c r="G562" s="20"/>
      <c r="L562" s="21"/>
    </row>
    <row r="563" customFormat="false" ht="12" hidden="false" customHeight="true" outlineLevel="0" collapsed="false">
      <c r="G563" s="20"/>
      <c r="L563" s="21"/>
    </row>
    <row r="564" customFormat="false" ht="12" hidden="false" customHeight="true" outlineLevel="0" collapsed="false">
      <c r="G564" s="20"/>
      <c r="L564" s="21"/>
    </row>
    <row r="565" customFormat="false" ht="12" hidden="false" customHeight="true" outlineLevel="0" collapsed="false">
      <c r="G565" s="20"/>
      <c r="L565" s="21"/>
    </row>
    <row r="566" customFormat="false" ht="12" hidden="false" customHeight="true" outlineLevel="0" collapsed="false">
      <c r="G566" s="20"/>
      <c r="L566" s="21"/>
    </row>
    <row r="567" customFormat="false" ht="12" hidden="false" customHeight="true" outlineLevel="0" collapsed="false">
      <c r="G567" s="20"/>
      <c r="L567" s="21"/>
    </row>
    <row r="568" customFormat="false" ht="12" hidden="false" customHeight="true" outlineLevel="0" collapsed="false">
      <c r="G568" s="20"/>
      <c r="L568" s="21"/>
    </row>
    <row r="569" customFormat="false" ht="12" hidden="false" customHeight="true" outlineLevel="0" collapsed="false">
      <c r="G569" s="20"/>
      <c r="L569" s="21"/>
    </row>
    <row r="570" customFormat="false" ht="12" hidden="false" customHeight="true" outlineLevel="0" collapsed="false">
      <c r="G570" s="20"/>
      <c r="L570" s="21"/>
    </row>
    <row r="571" customFormat="false" ht="12" hidden="false" customHeight="true" outlineLevel="0" collapsed="false">
      <c r="G571" s="20"/>
      <c r="L571" s="21"/>
    </row>
    <row r="572" customFormat="false" ht="12" hidden="false" customHeight="true" outlineLevel="0" collapsed="false">
      <c r="G572" s="20"/>
      <c r="L572" s="21"/>
    </row>
    <row r="573" customFormat="false" ht="12" hidden="false" customHeight="true" outlineLevel="0" collapsed="false">
      <c r="G573" s="20"/>
      <c r="L573" s="21"/>
    </row>
    <row r="574" customFormat="false" ht="12" hidden="false" customHeight="true" outlineLevel="0" collapsed="false">
      <c r="G574" s="20"/>
      <c r="L574" s="21"/>
    </row>
    <row r="575" customFormat="false" ht="12" hidden="false" customHeight="true" outlineLevel="0" collapsed="false">
      <c r="G575" s="20"/>
      <c r="L575" s="21"/>
    </row>
    <row r="576" customFormat="false" ht="12" hidden="false" customHeight="true" outlineLevel="0" collapsed="false">
      <c r="G576" s="20"/>
      <c r="L576" s="21"/>
    </row>
    <row r="577" customFormat="false" ht="12" hidden="false" customHeight="true" outlineLevel="0" collapsed="false">
      <c r="G577" s="20"/>
      <c r="L577" s="21"/>
    </row>
    <row r="578" customFormat="false" ht="12" hidden="false" customHeight="true" outlineLevel="0" collapsed="false">
      <c r="G578" s="20"/>
      <c r="L578" s="21"/>
    </row>
    <row r="579" customFormat="false" ht="12" hidden="false" customHeight="true" outlineLevel="0" collapsed="false">
      <c r="G579" s="20"/>
      <c r="L579" s="21"/>
    </row>
    <row r="580" customFormat="false" ht="12" hidden="false" customHeight="true" outlineLevel="0" collapsed="false">
      <c r="G580" s="20"/>
      <c r="L580" s="21"/>
    </row>
    <row r="581" customFormat="false" ht="12" hidden="false" customHeight="true" outlineLevel="0" collapsed="false">
      <c r="G581" s="20"/>
      <c r="L581" s="21"/>
    </row>
    <row r="582" customFormat="false" ht="12" hidden="false" customHeight="true" outlineLevel="0" collapsed="false">
      <c r="G582" s="20"/>
      <c r="L582" s="21"/>
    </row>
    <row r="583" customFormat="false" ht="12" hidden="false" customHeight="true" outlineLevel="0" collapsed="false">
      <c r="G583" s="20"/>
      <c r="L583" s="21"/>
    </row>
    <row r="584" customFormat="false" ht="12" hidden="false" customHeight="true" outlineLevel="0" collapsed="false">
      <c r="G584" s="20"/>
      <c r="L584" s="21"/>
    </row>
    <row r="585" customFormat="false" ht="12" hidden="false" customHeight="true" outlineLevel="0" collapsed="false">
      <c r="G585" s="20"/>
      <c r="L585" s="21"/>
    </row>
    <row r="586" customFormat="false" ht="12" hidden="false" customHeight="true" outlineLevel="0" collapsed="false">
      <c r="G586" s="20"/>
      <c r="L586" s="21"/>
    </row>
    <row r="587" customFormat="false" ht="12" hidden="false" customHeight="true" outlineLevel="0" collapsed="false">
      <c r="G587" s="20"/>
      <c r="L587" s="21"/>
    </row>
    <row r="588" customFormat="false" ht="12" hidden="false" customHeight="true" outlineLevel="0" collapsed="false">
      <c r="G588" s="20"/>
      <c r="L588" s="21"/>
    </row>
    <row r="589" customFormat="false" ht="12" hidden="false" customHeight="true" outlineLevel="0" collapsed="false">
      <c r="G589" s="20"/>
      <c r="L589" s="21"/>
    </row>
    <row r="590" customFormat="false" ht="12" hidden="false" customHeight="true" outlineLevel="0" collapsed="false">
      <c r="G590" s="20"/>
      <c r="L590" s="21"/>
    </row>
    <row r="591" customFormat="false" ht="12" hidden="false" customHeight="true" outlineLevel="0" collapsed="false">
      <c r="G591" s="20"/>
      <c r="L591" s="21"/>
    </row>
    <row r="592" customFormat="false" ht="12" hidden="false" customHeight="true" outlineLevel="0" collapsed="false">
      <c r="G592" s="20"/>
      <c r="L592" s="21"/>
    </row>
    <row r="593" customFormat="false" ht="12" hidden="false" customHeight="true" outlineLevel="0" collapsed="false">
      <c r="G593" s="20"/>
      <c r="L593" s="21"/>
    </row>
    <row r="594" customFormat="false" ht="12" hidden="false" customHeight="true" outlineLevel="0" collapsed="false">
      <c r="G594" s="20"/>
      <c r="L594" s="21"/>
    </row>
    <row r="595" customFormat="false" ht="12" hidden="false" customHeight="true" outlineLevel="0" collapsed="false">
      <c r="G595" s="20"/>
      <c r="L595" s="21"/>
    </row>
    <row r="596" customFormat="false" ht="12" hidden="false" customHeight="true" outlineLevel="0" collapsed="false">
      <c r="G596" s="20"/>
      <c r="L596" s="21"/>
    </row>
    <row r="597" customFormat="false" ht="12" hidden="false" customHeight="true" outlineLevel="0" collapsed="false">
      <c r="G597" s="20"/>
      <c r="L597" s="21"/>
    </row>
    <row r="598" customFormat="false" ht="12" hidden="false" customHeight="true" outlineLevel="0" collapsed="false">
      <c r="G598" s="20"/>
      <c r="L598" s="21"/>
    </row>
    <row r="599" customFormat="false" ht="12" hidden="false" customHeight="true" outlineLevel="0" collapsed="false">
      <c r="G599" s="20"/>
      <c r="L599" s="21"/>
    </row>
    <row r="600" customFormat="false" ht="12" hidden="false" customHeight="true" outlineLevel="0" collapsed="false">
      <c r="G600" s="20"/>
      <c r="L600" s="21"/>
    </row>
    <row r="601" customFormat="false" ht="12" hidden="false" customHeight="true" outlineLevel="0" collapsed="false">
      <c r="G601" s="20"/>
      <c r="L601" s="21"/>
    </row>
    <row r="602" customFormat="false" ht="12" hidden="false" customHeight="true" outlineLevel="0" collapsed="false">
      <c r="G602" s="20"/>
      <c r="L602" s="21"/>
    </row>
    <row r="603" customFormat="false" ht="12" hidden="false" customHeight="true" outlineLevel="0" collapsed="false">
      <c r="G603" s="20"/>
      <c r="L603" s="21"/>
    </row>
    <row r="604" customFormat="false" ht="12" hidden="false" customHeight="true" outlineLevel="0" collapsed="false">
      <c r="G604" s="20"/>
      <c r="L604" s="21"/>
    </row>
    <row r="605" customFormat="false" ht="12" hidden="false" customHeight="true" outlineLevel="0" collapsed="false">
      <c r="G605" s="20"/>
      <c r="L605" s="21"/>
    </row>
    <row r="606" customFormat="false" ht="12" hidden="false" customHeight="true" outlineLevel="0" collapsed="false">
      <c r="G606" s="20"/>
      <c r="L606" s="21"/>
    </row>
    <row r="607" customFormat="false" ht="12" hidden="false" customHeight="true" outlineLevel="0" collapsed="false">
      <c r="G607" s="20"/>
      <c r="L607" s="21"/>
    </row>
    <row r="608" customFormat="false" ht="12" hidden="false" customHeight="true" outlineLevel="0" collapsed="false">
      <c r="G608" s="20"/>
      <c r="L608" s="21"/>
    </row>
    <row r="609" customFormat="false" ht="12" hidden="false" customHeight="true" outlineLevel="0" collapsed="false">
      <c r="G609" s="20"/>
      <c r="L609" s="21"/>
    </row>
    <row r="610" customFormat="false" ht="12" hidden="false" customHeight="true" outlineLevel="0" collapsed="false">
      <c r="G610" s="20"/>
      <c r="L610" s="21"/>
    </row>
    <row r="611" customFormat="false" ht="12" hidden="false" customHeight="true" outlineLevel="0" collapsed="false">
      <c r="G611" s="20"/>
      <c r="L611" s="21"/>
    </row>
    <row r="612" customFormat="false" ht="12" hidden="false" customHeight="true" outlineLevel="0" collapsed="false">
      <c r="G612" s="20"/>
      <c r="L612" s="21"/>
    </row>
    <row r="613" customFormat="false" ht="12" hidden="false" customHeight="true" outlineLevel="0" collapsed="false">
      <c r="G613" s="20"/>
      <c r="L613" s="21"/>
    </row>
    <row r="614" customFormat="false" ht="12" hidden="false" customHeight="true" outlineLevel="0" collapsed="false">
      <c r="G614" s="20"/>
      <c r="L614" s="21"/>
    </row>
    <row r="615" customFormat="false" ht="12" hidden="false" customHeight="true" outlineLevel="0" collapsed="false">
      <c r="G615" s="20"/>
      <c r="L615" s="21"/>
    </row>
    <row r="616" customFormat="false" ht="12" hidden="false" customHeight="true" outlineLevel="0" collapsed="false">
      <c r="G616" s="20"/>
      <c r="L616" s="21"/>
    </row>
    <row r="617" customFormat="false" ht="12" hidden="false" customHeight="true" outlineLevel="0" collapsed="false">
      <c r="G617" s="20"/>
      <c r="L617" s="21"/>
    </row>
    <row r="618" customFormat="false" ht="12" hidden="false" customHeight="true" outlineLevel="0" collapsed="false">
      <c r="G618" s="20"/>
      <c r="L618" s="21"/>
    </row>
    <row r="619" customFormat="false" ht="12" hidden="false" customHeight="true" outlineLevel="0" collapsed="false">
      <c r="G619" s="20"/>
      <c r="L619" s="21"/>
    </row>
    <row r="620" customFormat="false" ht="12" hidden="false" customHeight="true" outlineLevel="0" collapsed="false">
      <c r="G620" s="20"/>
      <c r="L620" s="21"/>
    </row>
    <row r="621" customFormat="false" ht="12" hidden="false" customHeight="true" outlineLevel="0" collapsed="false">
      <c r="G621" s="20"/>
      <c r="L621" s="21"/>
    </row>
    <row r="622" customFormat="false" ht="12" hidden="false" customHeight="true" outlineLevel="0" collapsed="false">
      <c r="G622" s="20"/>
      <c r="L622" s="21"/>
    </row>
    <row r="623" customFormat="false" ht="12" hidden="false" customHeight="true" outlineLevel="0" collapsed="false">
      <c r="G623" s="20"/>
      <c r="L623" s="21"/>
    </row>
    <row r="624" customFormat="false" ht="12" hidden="false" customHeight="true" outlineLevel="0" collapsed="false">
      <c r="G624" s="20"/>
      <c r="L624" s="21"/>
    </row>
    <row r="625" customFormat="false" ht="12" hidden="false" customHeight="true" outlineLevel="0" collapsed="false">
      <c r="G625" s="20"/>
      <c r="L625" s="21"/>
    </row>
    <row r="626" customFormat="false" ht="12" hidden="false" customHeight="true" outlineLevel="0" collapsed="false">
      <c r="G626" s="20"/>
      <c r="L626" s="21"/>
    </row>
    <row r="627" customFormat="false" ht="12" hidden="false" customHeight="true" outlineLevel="0" collapsed="false">
      <c r="G627" s="20"/>
      <c r="L627" s="21"/>
    </row>
    <row r="628" customFormat="false" ht="12" hidden="false" customHeight="true" outlineLevel="0" collapsed="false">
      <c r="G628" s="20"/>
      <c r="L628" s="21"/>
    </row>
    <row r="629" customFormat="false" ht="12" hidden="false" customHeight="true" outlineLevel="0" collapsed="false">
      <c r="G629" s="20"/>
      <c r="L629" s="21"/>
    </row>
    <row r="630" customFormat="false" ht="12" hidden="false" customHeight="true" outlineLevel="0" collapsed="false">
      <c r="G630" s="20"/>
      <c r="L630" s="21"/>
    </row>
    <row r="631" customFormat="false" ht="12" hidden="false" customHeight="true" outlineLevel="0" collapsed="false">
      <c r="G631" s="20"/>
      <c r="L631" s="21"/>
    </row>
    <row r="632" customFormat="false" ht="12" hidden="false" customHeight="true" outlineLevel="0" collapsed="false">
      <c r="G632" s="20"/>
      <c r="L632" s="21"/>
    </row>
    <row r="633" customFormat="false" ht="12" hidden="false" customHeight="true" outlineLevel="0" collapsed="false">
      <c r="G633" s="20"/>
      <c r="L633" s="21"/>
    </row>
    <row r="634" customFormat="false" ht="12" hidden="false" customHeight="true" outlineLevel="0" collapsed="false">
      <c r="G634" s="20"/>
      <c r="L634" s="21"/>
    </row>
    <row r="635" customFormat="false" ht="12" hidden="false" customHeight="true" outlineLevel="0" collapsed="false">
      <c r="G635" s="20"/>
      <c r="L635" s="21"/>
    </row>
    <row r="636" customFormat="false" ht="12" hidden="false" customHeight="true" outlineLevel="0" collapsed="false">
      <c r="G636" s="20"/>
      <c r="L636" s="21"/>
    </row>
    <row r="637" customFormat="false" ht="12" hidden="false" customHeight="true" outlineLevel="0" collapsed="false">
      <c r="G637" s="20"/>
      <c r="L637" s="21"/>
    </row>
    <row r="638" customFormat="false" ht="12" hidden="false" customHeight="true" outlineLevel="0" collapsed="false">
      <c r="G638" s="20"/>
      <c r="L638" s="21"/>
    </row>
    <row r="639" customFormat="false" ht="12" hidden="false" customHeight="true" outlineLevel="0" collapsed="false">
      <c r="G639" s="20"/>
      <c r="L639" s="21"/>
    </row>
    <row r="640" customFormat="false" ht="12" hidden="false" customHeight="true" outlineLevel="0" collapsed="false">
      <c r="G640" s="20"/>
      <c r="L640" s="21"/>
    </row>
    <row r="641" customFormat="false" ht="12" hidden="false" customHeight="true" outlineLevel="0" collapsed="false">
      <c r="G641" s="20"/>
      <c r="L641" s="21"/>
    </row>
    <row r="642" customFormat="false" ht="12" hidden="false" customHeight="true" outlineLevel="0" collapsed="false">
      <c r="G642" s="20"/>
      <c r="L642" s="21"/>
    </row>
    <row r="643" customFormat="false" ht="12" hidden="false" customHeight="true" outlineLevel="0" collapsed="false">
      <c r="G643" s="20"/>
      <c r="L643" s="21"/>
    </row>
    <row r="644" customFormat="false" ht="12" hidden="false" customHeight="true" outlineLevel="0" collapsed="false">
      <c r="G644" s="20"/>
      <c r="L644" s="21"/>
    </row>
    <row r="645" customFormat="false" ht="12" hidden="false" customHeight="true" outlineLevel="0" collapsed="false">
      <c r="G645" s="20"/>
      <c r="L645" s="21"/>
    </row>
    <row r="646" customFormat="false" ht="12" hidden="false" customHeight="true" outlineLevel="0" collapsed="false">
      <c r="G646" s="20"/>
      <c r="L646" s="21"/>
    </row>
    <row r="647" customFormat="false" ht="12" hidden="false" customHeight="true" outlineLevel="0" collapsed="false">
      <c r="G647" s="20"/>
      <c r="L647" s="21"/>
    </row>
    <row r="648" customFormat="false" ht="12" hidden="false" customHeight="true" outlineLevel="0" collapsed="false">
      <c r="G648" s="20"/>
      <c r="L648" s="21"/>
    </row>
    <row r="649" customFormat="false" ht="12" hidden="false" customHeight="true" outlineLevel="0" collapsed="false">
      <c r="G649" s="20"/>
      <c r="L649" s="21"/>
    </row>
    <row r="650" customFormat="false" ht="12" hidden="false" customHeight="true" outlineLevel="0" collapsed="false">
      <c r="G650" s="20"/>
      <c r="L650" s="21"/>
    </row>
    <row r="651" customFormat="false" ht="12" hidden="false" customHeight="true" outlineLevel="0" collapsed="false">
      <c r="G651" s="20"/>
      <c r="L651" s="21"/>
    </row>
    <row r="652" customFormat="false" ht="12" hidden="false" customHeight="true" outlineLevel="0" collapsed="false">
      <c r="G652" s="20"/>
      <c r="L652" s="21"/>
    </row>
    <row r="653" customFormat="false" ht="12" hidden="false" customHeight="true" outlineLevel="0" collapsed="false">
      <c r="G653" s="20"/>
      <c r="L653" s="21"/>
    </row>
    <row r="654" customFormat="false" ht="12" hidden="false" customHeight="true" outlineLevel="0" collapsed="false">
      <c r="G654" s="20"/>
      <c r="L654" s="21"/>
    </row>
    <row r="655" customFormat="false" ht="12" hidden="false" customHeight="true" outlineLevel="0" collapsed="false">
      <c r="G655" s="20"/>
      <c r="L655" s="21"/>
    </row>
    <row r="656" customFormat="false" ht="12" hidden="false" customHeight="true" outlineLevel="0" collapsed="false">
      <c r="G656" s="20"/>
      <c r="L656" s="21"/>
    </row>
    <row r="657" customFormat="false" ht="12" hidden="false" customHeight="true" outlineLevel="0" collapsed="false">
      <c r="G657" s="20"/>
      <c r="L657" s="21"/>
    </row>
    <row r="658" customFormat="false" ht="12" hidden="false" customHeight="true" outlineLevel="0" collapsed="false">
      <c r="G658" s="20"/>
      <c r="L658" s="21"/>
    </row>
    <row r="659" customFormat="false" ht="12" hidden="false" customHeight="true" outlineLevel="0" collapsed="false">
      <c r="G659" s="20"/>
      <c r="L659" s="21"/>
    </row>
    <row r="660" customFormat="false" ht="12" hidden="false" customHeight="true" outlineLevel="0" collapsed="false">
      <c r="G660" s="20"/>
      <c r="L660" s="21"/>
    </row>
    <row r="661" customFormat="false" ht="12" hidden="false" customHeight="true" outlineLevel="0" collapsed="false">
      <c r="G661" s="20"/>
      <c r="L661" s="21"/>
    </row>
    <row r="662" customFormat="false" ht="12" hidden="false" customHeight="true" outlineLevel="0" collapsed="false">
      <c r="G662" s="20"/>
      <c r="L662" s="21"/>
    </row>
    <row r="663" customFormat="false" ht="12" hidden="false" customHeight="true" outlineLevel="0" collapsed="false">
      <c r="G663" s="20"/>
      <c r="L663" s="21"/>
    </row>
    <row r="664" customFormat="false" ht="12" hidden="false" customHeight="true" outlineLevel="0" collapsed="false">
      <c r="G664" s="20"/>
      <c r="L664" s="21"/>
    </row>
    <row r="665" customFormat="false" ht="12" hidden="false" customHeight="true" outlineLevel="0" collapsed="false">
      <c r="G665" s="20"/>
      <c r="L665" s="21"/>
    </row>
    <row r="666" customFormat="false" ht="12" hidden="false" customHeight="true" outlineLevel="0" collapsed="false">
      <c r="G666" s="20"/>
      <c r="L666" s="21"/>
    </row>
    <row r="667" customFormat="false" ht="12" hidden="false" customHeight="true" outlineLevel="0" collapsed="false">
      <c r="G667" s="20"/>
      <c r="L667" s="21"/>
    </row>
    <row r="668" customFormat="false" ht="12" hidden="false" customHeight="true" outlineLevel="0" collapsed="false">
      <c r="G668" s="20"/>
      <c r="L668" s="21"/>
    </row>
    <row r="669" customFormat="false" ht="12" hidden="false" customHeight="true" outlineLevel="0" collapsed="false">
      <c r="G669" s="20"/>
      <c r="L669" s="21"/>
    </row>
    <row r="670" customFormat="false" ht="12" hidden="false" customHeight="true" outlineLevel="0" collapsed="false">
      <c r="G670" s="20"/>
      <c r="L670" s="21"/>
    </row>
    <row r="671" customFormat="false" ht="12" hidden="false" customHeight="true" outlineLevel="0" collapsed="false">
      <c r="G671" s="20"/>
      <c r="L671" s="21"/>
    </row>
    <row r="672" customFormat="false" ht="12" hidden="false" customHeight="true" outlineLevel="0" collapsed="false">
      <c r="G672" s="20"/>
      <c r="L672" s="21"/>
    </row>
    <row r="673" customFormat="false" ht="12" hidden="false" customHeight="true" outlineLevel="0" collapsed="false">
      <c r="G673" s="20"/>
      <c r="L673" s="21"/>
    </row>
    <row r="674" customFormat="false" ht="12" hidden="false" customHeight="true" outlineLevel="0" collapsed="false">
      <c r="G674" s="20"/>
      <c r="L674" s="21"/>
    </row>
    <row r="675" customFormat="false" ht="12" hidden="false" customHeight="true" outlineLevel="0" collapsed="false">
      <c r="G675" s="20"/>
      <c r="L675" s="21"/>
    </row>
    <row r="676" customFormat="false" ht="12" hidden="false" customHeight="true" outlineLevel="0" collapsed="false">
      <c r="G676" s="20"/>
      <c r="L676" s="21"/>
    </row>
    <row r="677" customFormat="false" ht="12" hidden="false" customHeight="true" outlineLevel="0" collapsed="false">
      <c r="G677" s="20"/>
      <c r="L677" s="21"/>
    </row>
    <row r="678" customFormat="false" ht="12" hidden="false" customHeight="true" outlineLevel="0" collapsed="false">
      <c r="G678" s="20"/>
      <c r="L678" s="21"/>
    </row>
    <row r="679" customFormat="false" ht="12" hidden="false" customHeight="true" outlineLevel="0" collapsed="false">
      <c r="G679" s="20"/>
      <c r="L679" s="21"/>
    </row>
    <row r="680" customFormat="false" ht="12" hidden="false" customHeight="true" outlineLevel="0" collapsed="false">
      <c r="G680" s="20"/>
      <c r="L680" s="21"/>
    </row>
    <row r="681" customFormat="false" ht="12" hidden="false" customHeight="true" outlineLevel="0" collapsed="false">
      <c r="G681" s="20"/>
      <c r="L681" s="21"/>
    </row>
    <row r="682" customFormat="false" ht="12" hidden="false" customHeight="true" outlineLevel="0" collapsed="false">
      <c r="G682" s="20"/>
      <c r="L682" s="21"/>
    </row>
    <row r="683" customFormat="false" ht="12" hidden="false" customHeight="true" outlineLevel="0" collapsed="false">
      <c r="G683" s="20"/>
      <c r="L683" s="21"/>
    </row>
    <row r="684" customFormat="false" ht="12" hidden="false" customHeight="true" outlineLevel="0" collapsed="false">
      <c r="G684" s="20"/>
      <c r="L684" s="21"/>
    </row>
    <row r="685" customFormat="false" ht="12" hidden="false" customHeight="true" outlineLevel="0" collapsed="false">
      <c r="G685" s="20"/>
      <c r="L685" s="21"/>
    </row>
    <row r="686" customFormat="false" ht="12" hidden="false" customHeight="true" outlineLevel="0" collapsed="false">
      <c r="G686" s="20"/>
      <c r="L686" s="21"/>
    </row>
    <row r="687" customFormat="false" ht="12" hidden="false" customHeight="true" outlineLevel="0" collapsed="false">
      <c r="G687" s="20"/>
      <c r="L687" s="21"/>
    </row>
    <row r="688" customFormat="false" ht="12" hidden="false" customHeight="true" outlineLevel="0" collapsed="false">
      <c r="G688" s="20"/>
      <c r="L688" s="21"/>
    </row>
    <row r="689" customFormat="false" ht="12" hidden="false" customHeight="true" outlineLevel="0" collapsed="false">
      <c r="G689" s="20"/>
      <c r="L689" s="21"/>
    </row>
    <row r="690" customFormat="false" ht="12" hidden="false" customHeight="true" outlineLevel="0" collapsed="false">
      <c r="G690" s="20"/>
      <c r="L690" s="21"/>
    </row>
    <row r="691" customFormat="false" ht="12" hidden="false" customHeight="true" outlineLevel="0" collapsed="false">
      <c r="G691" s="20"/>
      <c r="L691" s="21"/>
    </row>
    <row r="692" customFormat="false" ht="12" hidden="false" customHeight="true" outlineLevel="0" collapsed="false">
      <c r="G692" s="20"/>
      <c r="L692" s="21"/>
    </row>
    <row r="693" customFormat="false" ht="12" hidden="false" customHeight="true" outlineLevel="0" collapsed="false">
      <c r="G693" s="20"/>
      <c r="L693" s="21"/>
    </row>
    <row r="694" customFormat="false" ht="12" hidden="false" customHeight="true" outlineLevel="0" collapsed="false">
      <c r="G694" s="20"/>
      <c r="L694" s="21"/>
    </row>
    <row r="695" customFormat="false" ht="12" hidden="false" customHeight="true" outlineLevel="0" collapsed="false">
      <c r="G695" s="20"/>
      <c r="L695" s="21"/>
    </row>
    <row r="696" customFormat="false" ht="12" hidden="false" customHeight="true" outlineLevel="0" collapsed="false">
      <c r="G696" s="20"/>
      <c r="L696" s="21"/>
    </row>
    <row r="697" customFormat="false" ht="12" hidden="false" customHeight="true" outlineLevel="0" collapsed="false">
      <c r="G697" s="20"/>
      <c r="L697" s="21"/>
    </row>
    <row r="698" customFormat="false" ht="12" hidden="false" customHeight="true" outlineLevel="0" collapsed="false">
      <c r="G698" s="20"/>
      <c r="L698" s="21"/>
    </row>
    <row r="699" customFormat="false" ht="12" hidden="false" customHeight="true" outlineLevel="0" collapsed="false">
      <c r="G699" s="20"/>
      <c r="L699" s="21"/>
    </row>
    <row r="700" customFormat="false" ht="12" hidden="false" customHeight="true" outlineLevel="0" collapsed="false">
      <c r="G700" s="20"/>
      <c r="L700" s="21"/>
    </row>
    <row r="701" customFormat="false" ht="12" hidden="false" customHeight="true" outlineLevel="0" collapsed="false">
      <c r="G701" s="20"/>
      <c r="L701" s="21"/>
    </row>
    <row r="702" customFormat="false" ht="12" hidden="false" customHeight="true" outlineLevel="0" collapsed="false">
      <c r="G702" s="20"/>
      <c r="L702" s="21"/>
    </row>
    <row r="703" customFormat="false" ht="12" hidden="false" customHeight="true" outlineLevel="0" collapsed="false">
      <c r="G703" s="20"/>
      <c r="L703" s="21"/>
    </row>
    <row r="704" customFormat="false" ht="12" hidden="false" customHeight="true" outlineLevel="0" collapsed="false">
      <c r="G704" s="20"/>
      <c r="L704" s="21"/>
    </row>
    <row r="705" customFormat="false" ht="12" hidden="false" customHeight="true" outlineLevel="0" collapsed="false">
      <c r="G705" s="20"/>
      <c r="L705" s="21"/>
    </row>
    <row r="706" customFormat="false" ht="12" hidden="false" customHeight="true" outlineLevel="0" collapsed="false">
      <c r="G706" s="20"/>
      <c r="L706" s="21"/>
    </row>
    <row r="707" customFormat="false" ht="12" hidden="false" customHeight="true" outlineLevel="0" collapsed="false">
      <c r="G707" s="20"/>
      <c r="L707" s="21"/>
    </row>
    <row r="708" customFormat="false" ht="12" hidden="false" customHeight="true" outlineLevel="0" collapsed="false">
      <c r="G708" s="20"/>
      <c r="L708" s="21"/>
    </row>
    <row r="709" customFormat="false" ht="12" hidden="false" customHeight="true" outlineLevel="0" collapsed="false">
      <c r="G709" s="20"/>
      <c r="L709" s="21"/>
    </row>
    <row r="710" customFormat="false" ht="12" hidden="false" customHeight="true" outlineLevel="0" collapsed="false">
      <c r="G710" s="20"/>
      <c r="L710" s="21"/>
    </row>
    <row r="711" customFormat="false" ht="12" hidden="false" customHeight="true" outlineLevel="0" collapsed="false">
      <c r="G711" s="20"/>
      <c r="L711" s="21"/>
    </row>
    <row r="712" customFormat="false" ht="12" hidden="false" customHeight="true" outlineLevel="0" collapsed="false">
      <c r="G712" s="20"/>
      <c r="L712" s="21"/>
    </row>
    <row r="713" customFormat="false" ht="12" hidden="false" customHeight="true" outlineLevel="0" collapsed="false">
      <c r="G713" s="20"/>
      <c r="L713" s="21"/>
    </row>
    <row r="714" customFormat="false" ht="12" hidden="false" customHeight="true" outlineLevel="0" collapsed="false">
      <c r="G714" s="20"/>
      <c r="L714" s="21"/>
    </row>
    <row r="715" customFormat="false" ht="12" hidden="false" customHeight="true" outlineLevel="0" collapsed="false">
      <c r="G715" s="20"/>
      <c r="L715" s="21"/>
    </row>
    <row r="716" customFormat="false" ht="12" hidden="false" customHeight="true" outlineLevel="0" collapsed="false">
      <c r="G716" s="20"/>
      <c r="L716" s="21"/>
    </row>
    <row r="717" customFormat="false" ht="12" hidden="false" customHeight="true" outlineLevel="0" collapsed="false">
      <c r="G717" s="20"/>
      <c r="L717" s="21"/>
    </row>
    <row r="718" customFormat="false" ht="12" hidden="false" customHeight="true" outlineLevel="0" collapsed="false">
      <c r="G718" s="20"/>
      <c r="L718" s="21"/>
    </row>
    <row r="719" customFormat="false" ht="12" hidden="false" customHeight="true" outlineLevel="0" collapsed="false">
      <c r="G719" s="20"/>
      <c r="L719" s="21"/>
    </row>
    <row r="720" customFormat="false" ht="12" hidden="false" customHeight="true" outlineLevel="0" collapsed="false">
      <c r="G720" s="20"/>
      <c r="L720" s="21"/>
    </row>
    <row r="721" customFormat="false" ht="12" hidden="false" customHeight="true" outlineLevel="0" collapsed="false">
      <c r="G721" s="20"/>
      <c r="L721" s="21"/>
    </row>
    <row r="722" customFormat="false" ht="12" hidden="false" customHeight="true" outlineLevel="0" collapsed="false">
      <c r="G722" s="20"/>
      <c r="L722" s="21"/>
    </row>
    <row r="723" customFormat="false" ht="12" hidden="false" customHeight="true" outlineLevel="0" collapsed="false">
      <c r="G723" s="20"/>
      <c r="L723" s="21"/>
    </row>
    <row r="724" customFormat="false" ht="12" hidden="false" customHeight="true" outlineLevel="0" collapsed="false">
      <c r="G724" s="20"/>
      <c r="L724" s="21"/>
    </row>
    <row r="725" customFormat="false" ht="12" hidden="false" customHeight="true" outlineLevel="0" collapsed="false">
      <c r="G725" s="20"/>
      <c r="L725" s="21"/>
    </row>
    <row r="726" customFormat="false" ht="12" hidden="false" customHeight="true" outlineLevel="0" collapsed="false">
      <c r="G726" s="20"/>
      <c r="L726" s="21"/>
    </row>
    <row r="727" customFormat="false" ht="12" hidden="false" customHeight="true" outlineLevel="0" collapsed="false">
      <c r="G727" s="20"/>
      <c r="L727" s="21"/>
    </row>
    <row r="728" customFormat="false" ht="12" hidden="false" customHeight="true" outlineLevel="0" collapsed="false">
      <c r="G728" s="20"/>
      <c r="L728" s="21"/>
    </row>
    <row r="729" customFormat="false" ht="12" hidden="false" customHeight="true" outlineLevel="0" collapsed="false">
      <c r="G729" s="20"/>
      <c r="L729" s="21"/>
    </row>
    <row r="730" customFormat="false" ht="12" hidden="false" customHeight="true" outlineLevel="0" collapsed="false">
      <c r="G730" s="20"/>
      <c r="L730" s="21"/>
    </row>
    <row r="731" customFormat="false" ht="12" hidden="false" customHeight="true" outlineLevel="0" collapsed="false">
      <c r="G731" s="20"/>
      <c r="L731" s="21"/>
    </row>
    <row r="732" customFormat="false" ht="12" hidden="false" customHeight="true" outlineLevel="0" collapsed="false">
      <c r="G732" s="20"/>
      <c r="L732" s="21"/>
    </row>
    <row r="733" customFormat="false" ht="12" hidden="false" customHeight="true" outlineLevel="0" collapsed="false">
      <c r="G733" s="20"/>
      <c r="L733" s="21"/>
    </row>
    <row r="734" customFormat="false" ht="12" hidden="false" customHeight="true" outlineLevel="0" collapsed="false">
      <c r="G734" s="20"/>
      <c r="L734" s="21"/>
    </row>
    <row r="735" customFormat="false" ht="12" hidden="false" customHeight="true" outlineLevel="0" collapsed="false">
      <c r="G735" s="20"/>
      <c r="L735" s="21"/>
    </row>
    <row r="736" customFormat="false" ht="12" hidden="false" customHeight="true" outlineLevel="0" collapsed="false">
      <c r="G736" s="20"/>
      <c r="L736" s="21"/>
    </row>
    <row r="737" customFormat="false" ht="12" hidden="false" customHeight="true" outlineLevel="0" collapsed="false">
      <c r="G737" s="20"/>
      <c r="L737" s="21"/>
    </row>
    <row r="738" customFormat="false" ht="12" hidden="false" customHeight="true" outlineLevel="0" collapsed="false">
      <c r="G738" s="20"/>
      <c r="L738" s="21"/>
    </row>
    <row r="739" customFormat="false" ht="12" hidden="false" customHeight="true" outlineLevel="0" collapsed="false">
      <c r="G739" s="20"/>
      <c r="L739" s="21"/>
    </row>
    <row r="740" customFormat="false" ht="12" hidden="false" customHeight="true" outlineLevel="0" collapsed="false">
      <c r="G740" s="20"/>
      <c r="L740" s="21"/>
    </row>
    <row r="741" customFormat="false" ht="12" hidden="false" customHeight="true" outlineLevel="0" collapsed="false">
      <c r="G741" s="20"/>
      <c r="L741" s="21"/>
    </row>
    <row r="742" customFormat="false" ht="12" hidden="false" customHeight="true" outlineLevel="0" collapsed="false">
      <c r="G742" s="20"/>
      <c r="L742" s="21"/>
    </row>
    <row r="743" customFormat="false" ht="12" hidden="false" customHeight="true" outlineLevel="0" collapsed="false">
      <c r="G743" s="20"/>
      <c r="L743" s="21"/>
    </row>
    <row r="744" customFormat="false" ht="12" hidden="false" customHeight="true" outlineLevel="0" collapsed="false">
      <c r="G744" s="20"/>
      <c r="L744" s="21"/>
    </row>
    <row r="745" customFormat="false" ht="12" hidden="false" customHeight="true" outlineLevel="0" collapsed="false">
      <c r="G745" s="20"/>
      <c r="L745" s="21"/>
    </row>
    <row r="746" customFormat="false" ht="12" hidden="false" customHeight="true" outlineLevel="0" collapsed="false">
      <c r="G746" s="20"/>
      <c r="L746" s="21"/>
    </row>
    <row r="747" customFormat="false" ht="12" hidden="false" customHeight="true" outlineLevel="0" collapsed="false">
      <c r="G747" s="20"/>
      <c r="L747" s="21"/>
    </row>
    <row r="748" customFormat="false" ht="12" hidden="false" customHeight="true" outlineLevel="0" collapsed="false">
      <c r="G748" s="20"/>
      <c r="L748" s="21"/>
    </row>
    <row r="749" customFormat="false" ht="12" hidden="false" customHeight="true" outlineLevel="0" collapsed="false">
      <c r="G749" s="20"/>
      <c r="L749" s="21"/>
    </row>
    <row r="750" customFormat="false" ht="12" hidden="false" customHeight="true" outlineLevel="0" collapsed="false">
      <c r="G750" s="20"/>
      <c r="L750" s="21"/>
    </row>
    <row r="751" customFormat="false" ht="12" hidden="false" customHeight="true" outlineLevel="0" collapsed="false">
      <c r="G751" s="20"/>
      <c r="L751" s="21"/>
    </row>
    <row r="752" customFormat="false" ht="12" hidden="false" customHeight="true" outlineLevel="0" collapsed="false">
      <c r="G752" s="20"/>
      <c r="L752" s="21"/>
    </row>
    <row r="753" customFormat="false" ht="12" hidden="false" customHeight="true" outlineLevel="0" collapsed="false">
      <c r="G753" s="20"/>
      <c r="L753" s="21"/>
    </row>
    <row r="754" customFormat="false" ht="12" hidden="false" customHeight="true" outlineLevel="0" collapsed="false">
      <c r="G754" s="20"/>
      <c r="L754" s="21"/>
    </row>
    <row r="755" customFormat="false" ht="12" hidden="false" customHeight="true" outlineLevel="0" collapsed="false">
      <c r="G755" s="20"/>
      <c r="L755" s="21"/>
    </row>
    <row r="756" customFormat="false" ht="12" hidden="false" customHeight="true" outlineLevel="0" collapsed="false">
      <c r="G756" s="20"/>
      <c r="L756" s="21"/>
    </row>
    <row r="757" customFormat="false" ht="12" hidden="false" customHeight="true" outlineLevel="0" collapsed="false">
      <c r="G757" s="20"/>
      <c r="L757" s="21"/>
    </row>
    <row r="758" customFormat="false" ht="12" hidden="false" customHeight="true" outlineLevel="0" collapsed="false">
      <c r="G758" s="20"/>
      <c r="L758" s="21"/>
    </row>
    <row r="759" customFormat="false" ht="12" hidden="false" customHeight="true" outlineLevel="0" collapsed="false">
      <c r="G759" s="20"/>
      <c r="L759" s="21"/>
    </row>
    <row r="760" customFormat="false" ht="12" hidden="false" customHeight="true" outlineLevel="0" collapsed="false">
      <c r="G760" s="20"/>
      <c r="L760" s="21"/>
    </row>
    <row r="761" customFormat="false" ht="12" hidden="false" customHeight="true" outlineLevel="0" collapsed="false">
      <c r="G761" s="20"/>
      <c r="L761" s="21"/>
    </row>
    <row r="762" customFormat="false" ht="12" hidden="false" customHeight="true" outlineLevel="0" collapsed="false">
      <c r="G762" s="20"/>
      <c r="L762" s="21"/>
    </row>
    <row r="763" customFormat="false" ht="12" hidden="false" customHeight="true" outlineLevel="0" collapsed="false">
      <c r="G763" s="20"/>
      <c r="L763" s="21"/>
    </row>
    <row r="764" customFormat="false" ht="12" hidden="false" customHeight="true" outlineLevel="0" collapsed="false">
      <c r="G764" s="20"/>
      <c r="L764" s="21"/>
    </row>
    <row r="765" customFormat="false" ht="12" hidden="false" customHeight="true" outlineLevel="0" collapsed="false">
      <c r="G765" s="20"/>
      <c r="L765" s="21"/>
    </row>
    <row r="766" customFormat="false" ht="12" hidden="false" customHeight="true" outlineLevel="0" collapsed="false">
      <c r="G766" s="20"/>
      <c r="L766" s="21"/>
    </row>
    <row r="767" customFormat="false" ht="12" hidden="false" customHeight="true" outlineLevel="0" collapsed="false">
      <c r="G767" s="20"/>
      <c r="L767" s="21"/>
    </row>
    <row r="768" customFormat="false" ht="12" hidden="false" customHeight="true" outlineLevel="0" collapsed="false">
      <c r="G768" s="20"/>
      <c r="L768" s="21"/>
    </row>
    <row r="769" customFormat="false" ht="12" hidden="false" customHeight="true" outlineLevel="0" collapsed="false">
      <c r="G769" s="20"/>
      <c r="L769" s="21"/>
    </row>
    <row r="770" customFormat="false" ht="12" hidden="false" customHeight="true" outlineLevel="0" collapsed="false">
      <c r="G770" s="20"/>
      <c r="L770" s="21"/>
    </row>
    <row r="771" customFormat="false" ht="12" hidden="false" customHeight="true" outlineLevel="0" collapsed="false">
      <c r="G771" s="20"/>
      <c r="L771" s="21"/>
    </row>
    <row r="772" customFormat="false" ht="12" hidden="false" customHeight="true" outlineLevel="0" collapsed="false">
      <c r="G772" s="20"/>
      <c r="L772" s="21"/>
    </row>
    <row r="773" customFormat="false" ht="12" hidden="false" customHeight="true" outlineLevel="0" collapsed="false">
      <c r="G773" s="20"/>
      <c r="L773" s="21"/>
    </row>
    <row r="774" customFormat="false" ht="12" hidden="false" customHeight="true" outlineLevel="0" collapsed="false">
      <c r="G774" s="20"/>
      <c r="L774" s="21"/>
    </row>
    <row r="775" customFormat="false" ht="12" hidden="false" customHeight="true" outlineLevel="0" collapsed="false">
      <c r="G775" s="20"/>
      <c r="L775" s="21"/>
    </row>
    <row r="776" customFormat="false" ht="12" hidden="false" customHeight="true" outlineLevel="0" collapsed="false">
      <c r="G776" s="20"/>
      <c r="L776" s="21"/>
    </row>
    <row r="777" customFormat="false" ht="12" hidden="false" customHeight="true" outlineLevel="0" collapsed="false">
      <c r="G777" s="20"/>
      <c r="L777" s="21"/>
    </row>
    <row r="778" customFormat="false" ht="12" hidden="false" customHeight="true" outlineLevel="0" collapsed="false">
      <c r="G778" s="20"/>
      <c r="L778" s="21"/>
    </row>
    <row r="779" customFormat="false" ht="12" hidden="false" customHeight="true" outlineLevel="0" collapsed="false">
      <c r="G779" s="20"/>
      <c r="L779" s="21"/>
    </row>
    <row r="780" customFormat="false" ht="12" hidden="false" customHeight="true" outlineLevel="0" collapsed="false">
      <c r="G780" s="20"/>
      <c r="L780" s="21"/>
    </row>
    <row r="781" customFormat="false" ht="12" hidden="false" customHeight="true" outlineLevel="0" collapsed="false">
      <c r="G781" s="20"/>
      <c r="L781" s="21"/>
    </row>
    <row r="782" customFormat="false" ht="12" hidden="false" customHeight="true" outlineLevel="0" collapsed="false">
      <c r="G782" s="20"/>
      <c r="L782" s="21"/>
    </row>
    <row r="783" customFormat="false" ht="12" hidden="false" customHeight="true" outlineLevel="0" collapsed="false">
      <c r="G783" s="20"/>
      <c r="L783" s="21"/>
    </row>
    <row r="784" customFormat="false" ht="12" hidden="false" customHeight="true" outlineLevel="0" collapsed="false">
      <c r="G784" s="20"/>
      <c r="L784" s="21"/>
    </row>
    <row r="785" customFormat="false" ht="12" hidden="false" customHeight="true" outlineLevel="0" collapsed="false">
      <c r="G785" s="20"/>
      <c r="L785" s="21"/>
    </row>
    <row r="786" customFormat="false" ht="12" hidden="false" customHeight="true" outlineLevel="0" collapsed="false">
      <c r="G786" s="20"/>
      <c r="L786" s="21"/>
    </row>
    <row r="787" customFormat="false" ht="12" hidden="false" customHeight="true" outlineLevel="0" collapsed="false">
      <c r="G787" s="20"/>
      <c r="L787" s="21"/>
    </row>
    <row r="788" customFormat="false" ht="12" hidden="false" customHeight="true" outlineLevel="0" collapsed="false">
      <c r="G788" s="20"/>
      <c r="L788" s="21"/>
    </row>
    <row r="789" customFormat="false" ht="12" hidden="false" customHeight="true" outlineLevel="0" collapsed="false">
      <c r="G789" s="20"/>
      <c r="L789" s="21"/>
    </row>
    <row r="790" customFormat="false" ht="12" hidden="false" customHeight="true" outlineLevel="0" collapsed="false">
      <c r="G790" s="20"/>
      <c r="L790" s="21"/>
    </row>
    <row r="791" customFormat="false" ht="12" hidden="false" customHeight="true" outlineLevel="0" collapsed="false">
      <c r="G791" s="20"/>
      <c r="L791" s="21"/>
    </row>
    <row r="792" customFormat="false" ht="12" hidden="false" customHeight="true" outlineLevel="0" collapsed="false">
      <c r="G792" s="20"/>
      <c r="L792" s="21"/>
    </row>
    <row r="793" customFormat="false" ht="12" hidden="false" customHeight="true" outlineLevel="0" collapsed="false">
      <c r="G793" s="20"/>
      <c r="L793" s="21"/>
    </row>
    <row r="794" customFormat="false" ht="12" hidden="false" customHeight="true" outlineLevel="0" collapsed="false">
      <c r="G794" s="20"/>
      <c r="L794" s="21"/>
    </row>
    <row r="795" customFormat="false" ht="12" hidden="false" customHeight="true" outlineLevel="0" collapsed="false">
      <c r="G795" s="20"/>
      <c r="L795" s="21"/>
    </row>
    <row r="796" customFormat="false" ht="12" hidden="false" customHeight="true" outlineLevel="0" collapsed="false">
      <c r="G796" s="20"/>
      <c r="L796" s="21"/>
    </row>
    <row r="797" customFormat="false" ht="12" hidden="false" customHeight="true" outlineLevel="0" collapsed="false">
      <c r="G797" s="20"/>
      <c r="L797" s="21"/>
    </row>
    <row r="798" customFormat="false" ht="12" hidden="false" customHeight="true" outlineLevel="0" collapsed="false">
      <c r="G798" s="20"/>
      <c r="L798" s="21"/>
    </row>
    <row r="799" customFormat="false" ht="12" hidden="false" customHeight="true" outlineLevel="0" collapsed="false">
      <c r="G799" s="20"/>
      <c r="L799" s="21"/>
    </row>
    <row r="800" customFormat="false" ht="12" hidden="false" customHeight="true" outlineLevel="0" collapsed="false">
      <c r="G800" s="20"/>
      <c r="L800" s="21"/>
    </row>
    <row r="801" customFormat="false" ht="12" hidden="false" customHeight="true" outlineLevel="0" collapsed="false">
      <c r="G801" s="20"/>
      <c r="L801" s="21"/>
    </row>
    <row r="802" customFormat="false" ht="12" hidden="false" customHeight="true" outlineLevel="0" collapsed="false">
      <c r="G802" s="20"/>
      <c r="L802" s="21"/>
    </row>
    <row r="803" customFormat="false" ht="12" hidden="false" customHeight="true" outlineLevel="0" collapsed="false">
      <c r="G803" s="20"/>
      <c r="L803" s="21"/>
    </row>
    <row r="804" customFormat="false" ht="12" hidden="false" customHeight="true" outlineLevel="0" collapsed="false">
      <c r="G804" s="20"/>
      <c r="L804" s="21"/>
    </row>
    <row r="805" customFormat="false" ht="12" hidden="false" customHeight="true" outlineLevel="0" collapsed="false">
      <c r="G805" s="20"/>
      <c r="L805" s="21"/>
    </row>
    <row r="806" customFormat="false" ht="12" hidden="false" customHeight="true" outlineLevel="0" collapsed="false">
      <c r="G806" s="20"/>
      <c r="L806" s="21"/>
    </row>
    <row r="807" customFormat="false" ht="12" hidden="false" customHeight="true" outlineLevel="0" collapsed="false">
      <c r="G807" s="20"/>
      <c r="L807" s="21"/>
    </row>
    <row r="808" customFormat="false" ht="12" hidden="false" customHeight="true" outlineLevel="0" collapsed="false">
      <c r="G808" s="20"/>
      <c r="L808" s="21"/>
    </row>
    <row r="809" customFormat="false" ht="12" hidden="false" customHeight="true" outlineLevel="0" collapsed="false">
      <c r="G809" s="20"/>
      <c r="L809" s="21"/>
    </row>
    <row r="810" customFormat="false" ht="12" hidden="false" customHeight="true" outlineLevel="0" collapsed="false">
      <c r="G810" s="20"/>
      <c r="L810" s="21"/>
    </row>
    <row r="811" customFormat="false" ht="12" hidden="false" customHeight="true" outlineLevel="0" collapsed="false">
      <c r="G811" s="20"/>
      <c r="L811" s="21"/>
    </row>
    <row r="812" customFormat="false" ht="12" hidden="false" customHeight="true" outlineLevel="0" collapsed="false">
      <c r="G812" s="20"/>
      <c r="L812" s="21"/>
    </row>
    <row r="813" customFormat="false" ht="12" hidden="false" customHeight="true" outlineLevel="0" collapsed="false">
      <c r="G813" s="20"/>
      <c r="L813" s="21"/>
    </row>
    <row r="814" customFormat="false" ht="12" hidden="false" customHeight="true" outlineLevel="0" collapsed="false">
      <c r="G814" s="20"/>
      <c r="L814" s="21"/>
    </row>
    <row r="815" customFormat="false" ht="12" hidden="false" customHeight="true" outlineLevel="0" collapsed="false">
      <c r="G815" s="20"/>
      <c r="L815" s="21"/>
    </row>
    <row r="816" customFormat="false" ht="12" hidden="false" customHeight="true" outlineLevel="0" collapsed="false">
      <c r="G816" s="20"/>
      <c r="L816" s="21"/>
    </row>
    <row r="817" customFormat="false" ht="12" hidden="false" customHeight="true" outlineLevel="0" collapsed="false">
      <c r="G817" s="20"/>
      <c r="L817" s="21"/>
    </row>
    <row r="818" customFormat="false" ht="12" hidden="false" customHeight="true" outlineLevel="0" collapsed="false">
      <c r="G818" s="20"/>
      <c r="L818" s="21"/>
    </row>
    <row r="819" customFormat="false" ht="12" hidden="false" customHeight="true" outlineLevel="0" collapsed="false">
      <c r="G819" s="20"/>
      <c r="L819" s="21"/>
    </row>
    <row r="820" customFormat="false" ht="12" hidden="false" customHeight="true" outlineLevel="0" collapsed="false">
      <c r="G820" s="20"/>
      <c r="L820" s="21"/>
    </row>
    <row r="821" customFormat="false" ht="12" hidden="false" customHeight="true" outlineLevel="0" collapsed="false">
      <c r="G821" s="20"/>
      <c r="L821" s="21"/>
    </row>
    <row r="822" customFormat="false" ht="12" hidden="false" customHeight="true" outlineLevel="0" collapsed="false">
      <c r="G822" s="20"/>
      <c r="L822" s="21"/>
    </row>
    <row r="823" customFormat="false" ht="12" hidden="false" customHeight="true" outlineLevel="0" collapsed="false">
      <c r="G823" s="20"/>
      <c r="L823" s="21"/>
    </row>
    <row r="824" customFormat="false" ht="12" hidden="false" customHeight="true" outlineLevel="0" collapsed="false">
      <c r="G824" s="20"/>
      <c r="L824" s="21"/>
    </row>
    <row r="825" customFormat="false" ht="12" hidden="false" customHeight="true" outlineLevel="0" collapsed="false">
      <c r="G825" s="20"/>
      <c r="L825" s="21"/>
    </row>
    <row r="826" customFormat="false" ht="12" hidden="false" customHeight="true" outlineLevel="0" collapsed="false">
      <c r="G826" s="20"/>
      <c r="L826" s="21"/>
    </row>
    <row r="827" customFormat="false" ht="12" hidden="false" customHeight="true" outlineLevel="0" collapsed="false">
      <c r="G827" s="20"/>
      <c r="L827" s="21"/>
    </row>
    <row r="828" customFormat="false" ht="12" hidden="false" customHeight="true" outlineLevel="0" collapsed="false">
      <c r="G828" s="20"/>
      <c r="L828" s="21"/>
    </row>
    <row r="829" customFormat="false" ht="12" hidden="false" customHeight="true" outlineLevel="0" collapsed="false">
      <c r="G829" s="20"/>
      <c r="L829" s="21"/>
    </row>
    <row r="830" customFormat="false" ht="12" hidden="false" customHeight="true" outlineLevel="0" collapsed="false">
      <c r="G830" s="20"/>
      <c r="L830" s="21"/>
    </row>
    <row r="831" customFormat="false" ht="12" hidden="false" customHeight="true" outlineLevel="0" collapsed="false">
      <c r="G831" s="20"/>
      <c r="L831" s="21"/>
    </row>
    <row r="832" customFormat="false" ht="12" hidden="false" customHeight="true" outlineLevel="0" collapsed="false">
      <c r="G832" s="20"/>
      <c r="L832" s="21"/>
    </row>
    <row r="833" customFormat="false" ht="12" hidden="false" customHeight="true" outlineLevel="0" collapsed="false">
      <c r="G833" s="20"/>
      <c r="L833" s="21"/>
    </row>
    <row r="834" customFormat="false" ht="12" hidden="false" customHeight="true" outlineLevel="0" collapsed="false">
      <c r="G834" s="20"/>
      <c r="L834" s="21"/>
    </row>
    <row r="835" customFormat="false" ht="12" hidden="false" customHeight="true" outlineLevel="0" collapsed="false">
      <c r="G835" s="20"/>
      <c r="L835" s="21"/>
    </row>
    <row r="836" customFormat="false" ht="12" hidden="false" customHeight="true" outlineLevel="0" collapsed="false">
      <c r="G836" s="20"/>
      <c r="L836" s="21"/>
    </row>
    <row r="837" customFormat="false" ht="12" hidden="false" customHeight="true" outlineLevel="0" collapsed="false">
      <c r="G837" s="20"/>
      <c r="L837" s="21"/>
    </row>
    <row r="838" customFormat="false" ht="12" hidden="false" customHeight="true" outlineLevel="0" collapsed="false">
      <c r="G838" s="20"/>
      <c r="L838" s="21"/>
    </row>
    <row r="839" customFormat="false" ht="12" hidden="false" customHeight="true" outlineLevel="0" collapsed="false">
      <c r="G839" s="20"/>
      <c r="L839" s="21"/>
    </row>
    <row r="840" customFormat="false" ht="12" hidden="false" customHeight="true" outlineLevel="0" collapsed="false">
      <c r="G840" s="20"/>
      <c r="L840" s="21"/>
    </row>
    <row r="841" customFormat="false" ht="12" hidden="false" customHeight="true" outlineLevel="0" collapsed="false">
      <c r="G841" s="20"/>
      <c r="L841" s="21"/>
    </row>
    <row r="842" customFormat="false" ht="12" hidden="false" customHeight="true" outlineLevel="0" collapsed="false">
      <c r="G842" s="20"/>
      <c r="L842" s="21"/>
    </row>
    <row r="843" customFormat="false" ht="12" hidden="false" customHeight="true" outlineLevel="0" collapsed="false">
      <c r="G843" s="20"/>
      <c r="L843" s="21"/>
    </row>
    <row r="844" customFormat="false" ht="12" hidden="false" customHeight="true" outlineLevel="0" collapsed="false">
      <c r="G844" s="20"/>
      <c r="L844" s="21"/>
    </row>
    <row r="845" customFormat="false" ht="12" hidden="false" customHeight="true" outlineLevel="0" collapsed="false">
      <c r="G845" s="20"/>
      <c r="L845" s="21"/>
    </row>
    <row r="846" customFormat="false" ht="12" hidden="false" customHeight="true" outlineLevel="0" collapsed="false">
      <c r="G846" s="20"/>
      <c r="L846" s="21"/>
    </row>
    <row r="847" customFormat="false" ht="12" hidden="false" customHeight="true" outlineLevel="0" collapsed="false">
      <c r="G847" s="20"/>
      <c r="L847" s="21"/>
    </row>
    <row r="848" customFormat="false" ht="12" hidden="false" customHeight="true" outlineLevel="0" collapsed="false">
      <c r="G848" s="20"/>
      <c r="L848" s="21"/>
    </row>
    <row r="849" customFormat="false" ht="12" hidden="false" customHeight="true" outlineLevel="0" collapsed="false">
      <c r="G849" s="20"/>
      <c r="L849" s="21"/>
    </row>
    <row r="850" customFormat="false" ht="12" hidden="false" customHeight="true" outlineLevel="0" collapsed="false">
      <c r="G850" s="20"/>
      <c r="L850" s="21"/>
    </row>
    <row r="851" customFormat="false" ht="12" hidden="false" customHeight="true" outlineLevel="0" collapsed="false">
      <c r="G851" s="20"/>
      <c r="L851" s="21"/>
    </row>
    <row r="852" customFormat="false" ht="12" hidden="false" customHeight="true" outlineLevel="0" collapsed="false">
      <c r="G852" s="20"/>
      <c r="L852" s="21"/>
    </row>
    <row r="853" customFormat="false" ht="12" hidden="false" customHeight="true" outlineLevel="0" collapsed="false">
      <c r="G853" s="20"/>
      <c r="L853" s="21"/>
    </row>
    <row r="854" customFormat="false" ht="12" hidden="false" customHeight="true" outlineLevel="0" collapsed="false">
      <c r="G854" s="20"/>
      <c r="L854" s="21"/>
    </row>
    <row r="855" customFormat="false" ht="12" hidden="false" customHeight="true" outlineLevel="0" collapsed="false">
      <c r="G855" s="20"/>
      <c r="L855" s="21"/>
    </row>
    <row r="856" customFormat="false" ht="12" hidden="false" customHeight="true" outlineLevel="0" collapsed="false">
      <c r="G856" s="20"/>
      <c r="L856" s="21"/>
    </row>
    <row r="857" customFormat="false" ht="12" hidden="false" customHeight="true" outlineLevel="0" collapsed="false">
      <c r="G857" s="20"/>
      <c r="L857" s="21"/>
    </row>
    <row r="858" customFormat="false" ht="12" hidden="false" customHeight="true" outlineLevel="0" collapsed="false">
      <c r="G858" s="20"/>
      <c r="L858" s="21"/>
    </row>
    <row r="859" customFormat="false" ht="12" hidden="false" customHeight="true" outlineLevel="0" collapsed="false">
      <c r="G859" s="20"/>
      <c r="L859" s="21"/>
    </row>
    <row r="860" customFormat="false" ht="12" hidden="false" customHeight="true" outlineLevel="0" collapsed="false">
      <c r="G860" s="20"/>
      <c r="L860" s="21"/>
    </row>
    <row r="861" customFormat="false" ht="12" hidden="false" customHeight="true" outlineLevel="0" collapsed="false">
      <c r="G861" s="20"/>
      <c r="L861" s="21"/>
    </row>
    <row r="862" customFormat="false" ht="12" hidden="false" customHeight="true" outlineLevel="0" collapsed="false">
      <c r="G862" s="20"/>
      <c r="L862" s="21"/>
    </row>
    <row r="863" customFormat="false" ht="12" hidden="false" customHeight="true" outlineLevel="0" collapsed="false">
      <c r="G863" s="20"/>
      <c r="L863" s="21"/>
    </row>
    <row r="864" customFormat="false" ht="12" hidden="false" customHeight="true" outlineLevel="0" collapsed="false">
      <c r="G864" s="20"/>
      <c r="L864" s="21"/>
    </row>
    <row r="865" customFormat="false" ht="12" hidden="false" customHeight="true" outlineLevel="0" collapsed="false">
      <c r="G865" s="20"/>
      <c r="L865" s="21"/>
    </row>
    <row r="866" customFormat="false" ht="12" hidden="false" customHeight="true" outlineLevel="0" collapsed="false">
      <c r="G866" s="20"/>
      <c r="L866" s="21"/>
    </row>
    <row r="867" customFormat="false" ht="12" hidden="false" customHeight="true" outlineLevel="0" collapsed="false">
      <c r="G867" s="20"/>
      <c r="L867" s="21"/>
    </row>
    <row r="868" customFormat="false" ht="12" hidden="false" customHeight="true" outlineLevel="0" collapsed="false">
      <c r="G868" s="20"/>
      <c r="L868" s="21"/>
    </row>
    <row r="869" customFormat="false" ht="12" hidden="false" customHeight="true" outlineLevel="0" collapsed="false">
      <c r="G869" s="20"/>
      <c r="L869" s="21"/>
    </row>
    <row r="870" customFormat="false" ht="12" hidden="false" customHeight="true" outlineLevel="0" collapsed="false">
      <c r="G870" s="20"/>
      <c r="L870" s="21"/>
    </row>
    <row r="871" customFormat="false" ht="12" hidden="false" customHeight="true" outlineLevel="0" collapsed="false">
      <c r="G871" s="20"/>
      <c r="L871" s="21"/>
    </row>
    <row r="872" customFormat="false" ht="12" hidden="false" customHeight="true" outlineLevel="0" collapsed="false">
      <c r="G872" s="20"/>
      <c r="L872" s="21"/>
    </row>
    <row r="873" customFormat="false" ht="12" hidden="false" customHeight="true" outlineLevel="0" collapsed="false">
      <c r="G873" s="20"/>
      <c r="L873" s="21"/>
    </row>
    <row r="874" customFormat="false" ht="12" hidden="false" customHeight="true" outlineLevel="0" collapsed="false">
      <c r="G874" s="20"/>
      <c r="L874" s="21"/>
    </row>
    <row r="875" customFormat="false" ht="12" hidden="false" customHeight="true" outlineLevel="0" collapsed="false">
      <c r="G875" s="20"/>
      <c r="L875" s="21"/>
    </row>
    <row r="876" customFormat="false" ht="12" hidden="false" customHeight="true" outlineLevel="0" collapsed="false">
      <c r="G876" s="20"/>
      <c r="L876" s="21"/>
    </row>
    <row r="877" customFormat="false" ht="12" hidden="false" customHeight="true" outlineLevel="0" collapsed="false">
      <c r="G877" s="20"/>
      <c r="L877" s="21"/>
    </row>
    <row r="878" customFormat="false" ht="12" hidden="false" customHeight="true" outlineLevel="0" collapsed="false">
      <c r="G878" s="20"/>
      <c r="L878" s="21"/>
    </row>
    <row r="879" customFormat="false" ht="12" hidden="false" customHeight="true" outlineLevel="0" collapsed="false">
      <c r="G879" s="20"/>
      <c r="L879" s="21"/>
    </row>
    <row r="880" customFormat="false" ht="12" hidden="false" customHeight="true" outlineLevel="0" collapsed="false">
      <c r="G880" s="20"/>
      <c r="L880" s="21"/>
    </row>
    <row r="881" customFormat="false" ht="12" hidden="false" customHeight="true" outlineLevel="0" collapsed="false">
      <c r="G881" s="20"/>
      <c r="L881" s="21"/>
    </row>
    <row r="882" customFormat="false" ht="12" hidden="false" customHeight="true" outlineLevel="0" collapsed="false">
      <c r="G882" s="20"/>
      <c r="L882" s="21"/>
    </row>
    <row r="883" customFormat="false" ht="12" hidden="false" customHeight="true" outlineLevel="0" collapsed="false">
      <c r="G883" s="20"/>
      <c r="L883" s="21"/>
    </row>
    <row r="884" customFormat="false" ht="12" hidden="false" customHeight="true" outlineLevel="0" collapsed="false">
      <c r="G884" s="20"/>
      <c r="L884" s="21"/>
    </row>
    <row r="885" customFormat="false" ht="12" hidden="false" customHeight="true" outlineLevel="0" collapsed="false">
      <c r="G885" s="20"/>
      <c r="L885" s="21"/>
    </row>
    <row r="886" customFormat="false" ht="12" hidden="false" customHeight="true" outlineLevel="0" collapsed="false">
      <c r="G886" s="20"/>
      <c r="L886" s="21"/>
    </row>
    <row r="887" customFormat="false" ht="12" hidden="false" customHeight="true" outlineLevel="0" collapsed="false">
      <c r="G887" s="20"/>
      <c r="L887" s="21"/>
    </row>
    <row r="888" customFormat="false" ht="12" hidden="false" customHeight="true" outlineLevel="0" collapsed="false">
      <c r="G888" s="20"/>
      <c r="L888" s="21"/>
    </row>
    <row r="889" customFormat="false" ht="12" hidden="false" customHeight="true" outlineLevel="0" collapsed="false">
      <c r="G889" s="20"/>
      <c r="L889" s="21"/>
    </row>
    <row r="890" customFormat="false" ht="12" hidden="false" customHeight="true" outlineLevel="0" collapsed="false">
      <c r="G890" s="20"/>
      <c r="L890" s="21"/>
    </row>
    <row r="891" customFormat="false" ht="12" hidden="false" customHeight="true" outlineLevel="0" collapsed="false">
      <c r="G891" s="20"/>
      <c r="L891" s="21"/>
    </row>
    <row r="892" customFormat="false" ht="12" hidden="false" customHeight="true" outlineLevel="0" collapsed="false">
      <c r="G892" s="20"/>
      <c r="L892" s="21"/>
    </row>
    <row r="893" customFormat="false" ht="12" hidden="false" customHeight="true" outlineLevel="0" collapsed="false">
      <c r="G893" s="20"/>
      <c r="L893" s="21"/>
    </row>
    <row r="894" customFormat="false" ht="12" hidden="false" customHeight="true" outlineLevel="0" collapsed="false">
      <c r="G894" s="20"/>
      <c r="L894" s="21"/>
    </row>
    <row r="895" customFormat="false" ht="12" hidden="false" customHeight="true" outlineLevel="0" collapsed="false">
      <c r="G895" s="20"/>
      <c r="L895" s="21"/>
    </row>
    <row r="896" customFormat="false" ht="12" hidden="false" customHeight="true" outlineLevel="0" collapsed="false">
      <c r="G896" s="20"/>
      <c r="L896" s="21"/>
    </row>
    <row r="897" customFormat="false" ht="12" hidden="false" customHeight="true" outlineLevel="0" collapsed="false">
      <c r="G897" s="20"/>
      <c r="L897" s="21"/>
    </row>
    <row r="898" customFormat="false" ht="12" hidden="false" customHeight="true" outlineLevel="0" collapsed="false">
      <c r="G898" s="20"/>
      <c r="L898" s="21"/>
    </row>
    <row r="899" customFormat="false" ht="12" hidden="false" customHeight="true" outlineLevel="0" collapsed="false">
      <c r="G899" s="20"/>
      <c r="L899" s="21"/>
    </row>
    <row r="900" customFormat="false" ht="12" hidden="false" customHeight="true" outlineLevel="0" collapsed="false">
      <c r="G900" s="20"/>
      <c r="L900" s="21"/>
    </row>
    <row r="901" customFormat="false" ht="12" hidden="false" customHeight="true" outlineLevel="0" collapsed="false">
      <c r="G901" s="20"/>
      <c r="L901" s="21"/>
    </row>
    <row r="902" customFormat="false" ht="12" hidden="false" customHeight="true" outlineLevel="0" collapsed="false">
      <c r="G902" s="20"/>
      <c r="L902" s="21"/>
    </row>
    <row r="903" customFormat="false" ht="12" hidden="false" customHeight="true" outlineLevel="0" collapsed="false">
      <c r="G903" s="20"/>
      <c r="L903" s="21"/>
    </row>
    <row r="904" customFormat="false" ht="12" hidden="false" customHeight="true" outlineLevel="0" collapsed="false">
      <c r="G904" s="20"/>
      <c r="L904" s="21"/>
    </row>
    <row r="905" customFormat="false" ht="12" hidden="false" customHeight="true" outlineLevel="0" collapsed="false">
      <c r="G905" s="20"/>
      <c r="L905" s="21"/>
    </row>
    <row r="906" customFormat="false" ht="12" hidden="false" customHeight="true" outlineLevel="0" collapsed="false">
      <c r="G906" s="20"/>
      <c r="L906" s="21"/>
    </row>
    <row r="907" customFormat="false" ht="12" hidden="false" customHeight="true" outlineLevel="0" collapsed="false">
      <c r="G907" s="20"/>
      <c r="L907" s="21"/>
    </row>
    <row r="908" customFormat="false" ht="12" hidden="false" customHeight="true" outlineLevel="0" collapsed="false">
      <c r="G908" s="20"/>
      <c r="L908" s="21"/>
    </row>
    <row r="909" customFormat="false" ht="12" hidden="false" customHeight="true" outlineLevel="0" collapsed="false">
      <c r="G909" s="20"/>
      <c r="L909" s="21"/>
    </row>
    <row r="910" customFormat="false" ht="12" hidden="false" customHeight="true" outlineLevel="0" collapsed="false">
      <c r="G910" s="20"/>
      <c r="L910" s="21"/>
    </row>
    <row r="911" customFormat="false" ht="12" hidden="false" customHeight="true" outlineLevel="0" collapsed="false">
      <c r="G911" s="20"/>
      <c r="L911" s="21"/>
    </row>
    <row r="912" customFormat="false" ht="12" hidden="false" customHeight="true" outlineLevel="0" collapsed="false">
      <c r="G912" s="20"/>
      <c r="L912" s="21"/>
    </row>
    <row r="913" customFormat="false" ht="12" hidden="false" customHeight="true" outlineLevel="0" collapsed="false">
      <c r="G913" s="20"/>
      <c r="L913" s="21"/>
    </row>
    <row r="914" customFormat="false" ht="12" hidden="false" customHeight="true" outlineLevel="0" collapsed="false">
      <c r="G914" s="20"/>
      <c r="L914" s="21"/>
    </row>
    <row r="915" customFormat="false" ht="12" hidden="false" customHeight="true" outlineLevel="0" collapsed="false">
      <c r="G915" s="20"/>
      <c r="L915" s="21"/>
    </row>
    <row r="916" customFormat="false" ht="12" hidden="false" customHeight="true" outlineLevel="0" collapsed="false">
      <c r="G916" s="20"/>
      <c r="L916" s="21"/>
    </row>
    <row r="917" customFormat="false" ht="12" hidden="false" customHeight="true" outlineLevel="0" collapsed="false">
      <c r="G917" s="20"/>
      <c r="L917" s="21"/>
    </row>
    <row r="918" customFormat="false" ht="12" hidden="false" customHeight="true" outlineLevel="0" collapsed="false">
      <c r="G918" s="20"/>
      <c r="L918" s="21"/>
    </row>
    <row r="919" customFormat="false" ht="12" hidden="false" customHeight="true" outlineLevel="0" collapsed="false">
      <c r="G919" s="20"/>
      <c r="L919" s="21"/>
    </row>
    <row r="920" customFormat="false" ht="12" hidden="false" customHeight="true" outlineLevel="0" collapsed="false">
      <c r="G920" s="20"/>
      <c r="L920" s="21"/>
    </row>
    <row r="921" customFormat="false" ht="12" hidden="false" customHeight="true" outlineLevel="0" collapsed="false">
      <c r="G921" s="20"/>
      <c r="L921" s="21"/>
    </row>
    <row r="922" customFormat="false" ht="12" hidden="false" customHeight="true" outlineLevel="0" collapsed="false">
      <c r="G922" s="20"/>
      <c r="L922" s="21"/>
    </row>
    <row r="923" customFormat="false" ht="12" hidden="false" customHeight="true" outlineLevel="0" collapsed="false">
      <c r="G923" s="20"/>
      <c r="L923" s="21"/>
    </row>
    <row r="924" customFormat="false" ht="12" hidden="false" customHeight="true" outlineLevel="0" collapsed="false">
      <c r="G924" s="20"/>
      <c r="L924" s="21"/>
    </row>
    <row r="925" customFormat="false" ht="12" hidden="false" customHeight="true" outlineLevel="0" collapsed="false">
      <c r="G925" s="20"/>
      <c r="L925" s="21"/>
    </row>
    <row r="926" customFormat="false" ht="12" hidden="false" customHeight="true" outlineLevel="0" collapsed="false">
      <c r="G926" s="20"/>
      <c r="L926" s="21"/>
    </row>
    <row r="927" customFormat="false" ht="12" hidden="false" customHeight="true" outlineLevel="0" collapsed="false">
      <c r="G927" s="20"/>
      <c r="L927" s="21"/>
    </row>
    <row r="928" customFormat="false" ht="12" hidden="false" customHeight="true" outlineLevel="0" collapsed="false">
      <c r="G928" s="20"/>
      <c r="L928" s="21"/>
    </row>
    <row r="929" customFormat="false" ht="12" hidden="false" customHeight="true" outlineLevel="0" collapsed="false">
      <c r="G929" s="20"/>
      <c r="L929" s="21"/>
    </row>
    <row r="930" customFormat="false" ht="12" hidden="false" customHeight="true" outlineLevel="0" collapsed="false">
      <c r="G930" s="20"/>
      <c r="L930" s="21"/>
    </row>
    <row r="931" customFormat="false" ht="12" hidden="false" customHeight="true" outlineLevel="0" collapsed="false">
      <c r="G931" s="20"/>
      <c r="L931" s="21"/>
    </row>
    <row r="932" customFormat="false" ht="12" hidden="false" customHeight="true" outlineLevel="0" collapsed="false">
      <c r="G932" s="20"/>
      <c r="L932" s="21"/>
    </row>
    <row r="933" customFormat="false" ht="12" hidden="false" customHeight="true" outlineLevel="0" collapsed="false">
      <c r="G933" s="20"/>
      <c r="L933" s="21"/>
    </row>
    <row r="934" customFormat="false" ht="12" hidden="false" customHeight="true" outlineLevel="0" collapsed="false">
      <c r="G934" s="20"/>
      <c r="L934" s="21"/>
    </row>
    <row r="935" customFormat="false" ht="12" hidden="false" customHeight="true" outlineLevel="0" collapsed="false">
      <c r="G935" s="20"/>
      <c r="L935" s="21"/>
    </row>
    <row r="936" customFormat="false" ht="12" hidden="false" customHeight="true" outlineLevel="0" collapsed="false">
      <c r="G936" s="20"/>
      <c r="L936" s="21"/>
    </row>
    <row r="937" customFormat="false" ht="12" hidden="false" customHeight="true" outlineLevel="0" collapsed="false">
      <c r="G937" s="20"/>
      <c r="L937" s="21"/>
    </row>
    <row r="938" customFormat="false" ht="12" hidden="false" customHeight="true" outlineLevel="0" collapsed="false">
      <c r="G938" s="20"/>
      <c r="L938" s="21"/>
    </row>
    <row r="939" customFormat="false" ht="12" hidden="false" customHeight="true" outlineLevel="0" collapsed="false">
      <c r="G939" s="20"/>
      <c r="L939" s="21"/>
    </row>
    <row r="940" customFormat="false" ht="12" hidden="false" customHeight="true" outlineLevel="0" collapsed="false">
      <c r="G940" s="20"/>
      <c r="L940" s="21"/>
    </row>
    <row r="941" customFormat="false" ht="12" hidden="false" customHeight="true" outlineLevel="0" collapsed="false">
      <c r="G941" s="20"/>
      <c r="L941" s="21"/>
    </row>
    <row r="942" customFormat="false" ht="12" hidden="false" customHeight="true" outlineLevel="0" collapsed="false">
      <c r="G942" s="20"/>
      <c r="L942" s="21"/>
    </row>
    <row r="943" customFormat="false" ht="12" hidden="false" customHeight="true" outlineLevel="0" collapsed="false">
      <c r="G943" s="20"/>
      <c r="L943" s="21"/>
    </row>
    <row r="944" customFormat="false" ht="12" hidden="false" customHeight="true" outlineLevel="0" collapsed="false">
      <c r="G944" s="20"/>
      <c r="L944" s="21"/>
    </row>
    <row r="945" customFormat="false" ht="12" hidden="false" customHeight="true" outlineLevel="0" collapsed="false">
      <c r="G945" s="20"/>
      <c r="L945" s="21"/>
    </row>
    <row r="946" customFormat="false" ht="12" hidden="false" customHeight="true" outlineLevel="0" collapsed="false">
      <c r="G946" s="20"/>
      <c r="L946" s="21"/>
    </row>
    <row r="947" customFormat="false" ht="12" hidden="false" customHeight="true" outlineLevel="0" collapsed="false">
      <c r="G947" s="20"/>
      <c r="L947" s="21"/>
    </row>
    <row r="948" customFormat="false" ht="12" hidden="false" customHeight="true" outlineLevel="0" collapsed="false">
      <c r="G948" s="20"/>
      <c r="L948" s="21"/>
    </row>
    <row r="949" customFormat="false" ht="12" hidden="false" customHeight="true" outlineLevel="0" collapsed="false">
      <c r="G949" s="20"/>
      <c r="L949" s="21"/>
    </row>
    <row r="950" customFormat="false" ht="12" hidden="false" customHeight="true" outlineLevel="0" collapsed="false">
      <c r="G950" s="20"/>
      <c r="L950" s="21"/>
    </row>
    <row r="951" customFormat="false" ht="12" hidden="false" customHeight="true" outlineLevel="0" collapsed="false">
      <c r="G951" s="20"/>
      <c r="L951" s="21"/>
    </row>
    <row r="952" customFormat="false" ht="12" hidden="false" customHeight="true" outlineLevel="0" collapsed="false">
      <c r="G952" s="20"/>
      <c r="L952" s="21"/>
    </row>
    <row r="953" customFormat="false" ht="12" hidden="false" customHeight="true" outlineLevel="0" collapsed="false">
      <c r="G953" s="20"/>
      <c r="L953" s="21"/>
    </row>
    <row r="954" customFormat="false" ht="12" hidden="false" customHeight="true" outlineLevel="0" collapsed="false">
      <c r="G954" s="20"/>
      <c r="L954" s="21"/>
    </row>
    <row r="955" customFormat="false" ht="12" hidden="false" customHeight="true" outlineLevel="0" collapsed="false">
      <c r="G955" s="20"/>
      <c r="L955" s="21"/>
    </row>
    <row r="956" customFormat="false" ht="12" hidden="false" customHeight="true" outlineLevel="0" collapsed="false">
      <c r="G956" s="20"/>
      <c r="L956" s="21"/>
    </row>
    <row r="957" customFormat="false" ht="12" hidden="false" customHeight="true" outlineLevel="0" collapsed="false">
      <c r="G957" s="20"/>
      <c r="L957" s="21"/>
    </row>
    <row r="958" customFormat="false" ht="12" hidden="false" customHeight="true" outlineLevel="0" collapsed="false">
      <c r="G958" s="20"/>
      <c r="L958" s="21"/>
    </row>
    <row r="959" customFormat="false" ht="12" hidden="false" customHeight="true" outlineLevel="0" collapsed="false">
      <c r="G959" s="20"/>
      <c r="L959" s="21"/>
    </row>
    <row r="960" customFormat="false" ht="12" hidden="false" customHeight="true" outlineLevel="0" collapsed="false">
      <c r="G960" s="20"/>
      <c r="L960" s="21"/>
    </row>
    <row r="961" customFormat="false" ht="12" hidden="false" customHeight="true" outlineLevel="0" collapsed="false">
      <c r="G961" s="20"/>
      <c r="L961" s="21"/>
    </row>
    <row r="962" customFormat="false" ht="12" hidden="false" customHeight="true" outlineLevel="0" collapsed="false">
      <c r="G962" s="20"/>
      <c r="L962" s="21"/>
    </row>
    <row r="963" customFormat="false" ht="12" hidden="false" customHeight="true" outlineLevel="0" collapsed="false">
      <c r="G963" s="20"/>
      <c r="L963" s="21"/>
    </row>
    <row r="964" customFormat="false" ht="12" hidden="false" customHeight="true" outlineLevel="0" collapsed="false">
      <c r="G964" s="20"/>
      <c r="L964" s="21"/>
    </row>
    <row r="965" customFormat="false" ht="12" hidden="false" customHeight="true" outlineLevel="0" collapsed="false">
      <c r="G965" s="20"/>
      <c r="L965" s="21"/>
    </row>
    <row r="966" customFormat="false" ht="12" hidden="false" customHeight="true" outlineLevel="0" collapsed="false">
      <c r="G966" s="20"/>
      <c r="L966" s="21"/>
    </row>
    <row r="967" customFormat="false" ht="12" hidden="false" customHeight="true" outlineLevel="0" collapsed="false">
      <c r="G967" s="20"/>
      <c r="L967" s="21"/>
    </row>
    <row r="968" customFormat="false" ht="12" hidden="false" customHeight="true" outlineLevel="0" collapsed="false">
      <c r="G968" s="20"/>
      <c r="L968" s="21"/>
    </row>
    <row r="969" customFormat="false" ht="12" hidden="false" customHeight="true" outlineLevel="0" collapsed="false">
      <c r="G969" s="20"/>
      <c r="L969" s="21"/>
    </row>
    <row r="970" customFormat="false" ht="12" hidden="false" customHeight="true" outlineLevel="0" collapsed="false">
      <c r="G970" s="20"/>
      <c r="L970" s="21"/>
    </row>
    <row r="971" customFormat="false" ht="12" hidden="false" customHeight="true" outlineLevel="0" collapsed="false">
      <c r="G971" s="20"/>
      <c r="L971" s="21"/>
    </row>
    <row r="972" customFormat="false" ht="12" hidden="false" customHeight="true" outlineLevel="0" collapsed="false">
      <c r="G972" s="20"/>
      <c r="L972" s="21"/>
    </row>
    <row r="973" customFormat="false" ht="12" hidden="false" customHeight="true" outlineLevel="0" collapsed="false">
      <c r="G973" s="20"/>
      <c r="L973" s="21"/>
    </row>
    <row r="974" customFormat="false" ht="12" hidden="false" customHeight="true" outlineLevel="0" collapsed="false">
      <c r="G974" s="20"/>
      <c r="L974" s="21"/>
    </row>
    <row r="975" customFormat="false" ht="12" hidden="false" customHeight="true" outlineLevel="0" collapsed="false">
      <c r="G975" s="20"/>
      <c r="L975" s="21"/>
    </row>
    <row r="976" customFormat="false" ht="12" hidden="false" customHeight="true" outlineLevel="0" collapsed="false">
      <c r="G976" s="20"/>
      <c r="L976" s="21"/>
    </row>
    <row r="977" customFormat="false" ht="12" hidden="false" customHeight="true" outlineLevel="0" collapsed="false">
      <c r="G977" s="20"/>
      <c r="L977" s="21"/>
    </row>
    <row r="978" customFormat="false" ht="12" hidden="false" customHeight="true" outlineLevel="0" collapsed="false">
      <c r="G978" s="20"/>
      <c r="L978" s="21"/>
    </row>
    <row r="979" customFormat="false" ht="12" hidden="false" customHeight="true" outlineLevel="0" collapsed="false">
      <c r="G979" s="20"/>
      <c r="L979" s="21"/>
    </row>
    <row r="980" customFormat="false" ht="12" hidden="false" customHeight="true" outlineLevel="0" collapsed="false">
      <c r="G980" s="20"/>
      <c r="L980" s="21"/>
    </row>
    <row r="981" customFormat="false" ht="12" hidden="false" customHeight="true" outlineLevel="0" collapsed="false">
      <c r="G981" s="20"/>
      <c r="L981" s="21"/>
    </row>
    <row r="982" customFormat="false" ht="12" hidden="false" customHeight="true" outlineLevel="0" collapsed="false">
      <c r="G982" s="20"/>
      <c r="L982" s="21"/>
    </row>
    <row r="983" customFormat="false" ht="12" hidden="false" customHeight="true" outlineLevel="0" collapsed="false">
      <c r="G983" s="20"/>
      <c r="L983" s="21"/>
    </row>
    <row r="984" customFormat="false" ht="12" hidden="false" customHeight="true" outlineLevel="0" collapsed="false">
      <c r="G984" s="20"/>
      <c r="L984" s="21"/>
    </row>
    <row r="985" customFormat="false" ht="12" hidden="false" customHeight="true" outlineLevel="0" collapsed="false">
      <c r="G985" s="20"/>
      <c r="L985" s="21"/>
    </row>
    <row r="986" customFormat="false" ht="12" hidden="false" customHeight="true" outlineLevel="0" collapsed="false">
      <c r="G986" s="20"/>
      <c r="L986" s="21"/>
    </row>
    <row r="987" customFormat="false" ht="12" hidden="false" customHeight="true" outlineLevel="0" collapsed="false">
      <c r="G987" s="20"/>
      <c r="L987" s="21"/>
    </row>
    <row r="988" customFormat="false" ht="12" hidden="false" customHeight="true" outlineLevel="0" collapsed="false">
      <c r="G988" s="20"/>
      <c r="L988" s="21"/>
    </row>
    <row r="989" customFormat="false" ht="12" hidden="false" customHeight="true" outlineLevel="0" collapsed="false">
      <c r="G989" s="20"/>
      <c r="L989" s="21"/>
    </row>
    <row r="990" customFormat="false" ht="12" hidden="false" customHeight="true" outlineLevel="0" collapsed="false">
      <c r="G990" s="20"/>
      <c r="L990" s="21"/>
    </row>
    <row r="991" customFormat="false" ht="12" hidden="false" customHeight="true" outlineLevel="0" collapsed="false">
      <c r="G991" s="20"/>
      <c r="L991" s="21"/>
    </row>
    <row r="992" customFormat="false" ht="12" hidden="false" customHeight="true" outlineLevel="0" collapsed="false">
      <c r="G992" s="20"/>
      <c r="L992" s="21"/>
    </row>
    <row r="993" customFormat="false" ht="12" hidden="false" customHeight="true" outlineLevel="0" collapsed="false">
      <c r="G993" s="20"/>
      <c r="L993" s="21"/>
    </row>
    <row r="994" customFormat="false" ht="12" hidden="false" customHeight="true" outlineLevel="0" collapsed="false">
      <c r="G994" s="20"/>
      <c r="L994" s="21"/>
    </row>
    <row r="995" customFormat="false" ht="12" hidden="false" customHeight="true" outlineLevel="0" collapsed="false">
      <c r="G995" s="20"/>
      <c r="L995" s="21"/>
    </row>
    <row r="996" customFormat="false" ht="12" hidden="false" customHeight="true" outlineLevel="0" collapsed="false">
      <c r="G996" s="20"/>
      <c r="L996" s="21"/>
    </row>
    <row r="997" customFormat="false" ht="12" hidden="false" customHeight="true" outlineLevel="0" collapsed="false">
      <c r="G997" s="20"/>
      <c r="L997" s="21"/>
    </row>
    <row r="998" customFormat="false" ht="12" hidden="false" customHeight="true" outlineLevel="0" collapsed="false">
      <c r="G998" s="20"/>
      <c r="L998" s="21"/>
    </row>
    <row r="999" customFormat="false" ht="12" hidden="false" customHeight="true" outlineLevel="0" collapsed="false">
      <c r="G999" s="20"/>
      <c r="L999" s="21"/>
    </row>
    <row r="1000" customFormat="false" ht="12" hidden="false" customHeight="true" outlineLevel="0" collapsed="false">
      <c r="G1000" s="20"/>
      <c r="L1000" s="21"/>
    </row>
  </sheetData>
  <dataValidations count="2">
    <dataValidation allowBlank="true" errorStyle="stop" operator="between" showDropDown="true" showErrorMessage="false" showInputMessage="false" sqref="D2:E64" type="custom">
      <formula1>OR(TIMEVALUE(TEXT(D2, "hh:mm:ss"))=D2, AND(ISNUMBER(D2), LEFT(CELL("format", D2))="D"))</formula1>
      <formula2>0</formula2>
    </dataValidation>
    <dataValidation allowBlank="true" errorStyle="stop" operator="between" showDropDown="true" showErrorMessage="false" showInputMessage="false" sqref="A2:A64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35.57"/>
    <col collapsed="false" customWidth="true" hidden="false" outlineLevel="0" max="4" min="4" style="0" width="12.42"/>
    <col collapsed="false" customWidth="true" hidden="false" outlineLevel="0" max="5" min="5" style="0" width="47.42"/>
    <col collapsed="false" customWidth="true" hidden="false" outlineLevel="0" max="7" min="7" style="0" width="12.42"/>
    <col collapsed="false" customWidth="true" hidden="false" outlineLevel="0" max="8" min="8" style="0" width="40.57"/>
  </cols>
  <sheetData>
    <row r="1" customFormat="false" ht="12" hidden="false" customHeight="true" outlineLevel="0" collapsed="false">
      <c r="A1" s="22" t="s">
        <v>130</v>
      </c>
      <c r="B1" s="22"/>
      <c r="D1" s="23" t="s">
        <v>131</v>
      </c>
      <c r="E1" s="23"/>
      <c r="G1" s="24" t="s">
        <v>132</v>
      </c>
      <c r="H1" s="24"/>
    </row>
    <row r="2" customFormat="false" ht="12" hidden="false" customHeight="true" outlineLevel="0" collapsed="false">
      <c r="A2" s="25" t="s">
        <v>133</v>
      </c>
      <c r="B2" s="25" t="s">
        <v>1</v>
      </c>
      <c r="D2" s="25" t="s">
        <v>133</v>
      </c>
      <c r="E2" s="25" t="s">
        <v>1</v>
      </c>
      <c r="G2" s="25" t="s">
        <v>133</v>
      </c>
      <c r="H2" s="25" t="s">
        <v>1</v>
      </c>
    </row>
    <row r="3" customFormat="false" ht="13.5" hidden="false" customHeight="true" outlineLevel="0" collapsed="false">
      <c r="A3" s="26" t="n">
        <v>1</v>
      </c>
      <c r="B3" s="27" t="s">
        <v>5</v>
      </c>
      <c r="D3" s="26" t="n">
        <v>7</v>
      </c>
      <c r="E3" s="27" t="s">
        <v>17</v>
      </c>
      <c r="G3" s="26" t="n">
        <v>2</v>
      </c>
      <c r="H3" s="27" t="s">
        <v>7</v>
      </c>
    </row>
    <row r="4" customFormat="false" ht="13.5" hidden="false" customHeight="true" outlineLevel="0" collapsed="false">
      <c r="A4" s="28" t="n">
        <v>14</v>
      </c>
      <c r="B4" s="29" t="s">
        <v>31</v>
      </c>
      <c r="D4" s="28" t="n">
        <v>15</v>
      </c>
      <c r="E4" s="29" t="s">
        <v>33</v>
      </c>
      <c r="G4" s="28" t="n">
        <v>3</v>
      </c>
      <c r="H4" s="29" t="s">
        <v>9</v>
      </c>
    </row>
    <row r="5" customFormat="false" ht="13.5" hidden="false" customHeight="true" outlineLevel="0" collapsed="false">
      <c r="A5" s="30" t="n">
        <v>18</v>
      </c>
      <c r="B5" s="31" t="s">
        <v>38</v>
      </c>
      <c r="D5" s="30" t="n">
        <v>17</v>
      </c>
      <c r="E5" s="31" t="s">
        <v>36</v>
      </c>
      <c r="G5" s="30" t="n">
        <v>4</v>
      </c>
      <c r="H5" s="31" t="s">
        <v>11</v>
      </c>
    </row>
    <row r="6" customFormat="false" ht="13.5" hidden="false" customHeight="true" outlineLevel="0" collapsed="false">
      <c r="A6" s="28" t="n">
        <v>19</v>
      </c>
      <c r="B6" s="29" t="s">
        <v>40</v>
      </c>
      <c r="D6" s="28" t="n">
        <v>20</v>
      </c>
      <c r="E6" s="29" t="s">
        <v>42</v>
      </c>
      <c r="G6" s="28" t="n">
        <v>9</v>
      </c>
      <c r="H6" s="29" t="s">
        <v>21</v>
      </c>
    </row>
    <row r="7" customFormat="false" ht="13.5" hidden="false" customHeight="true" outlineLevel="0" collapsed="false">
      <c r="A7" s="26" t="n">
        <v>35</v>
      </c>
      <c r="B7" s="27" t="s">
        <v>72</v>
      </c>
      <c r="D7" s="26" t="n">
        <v>24</v>
      </c>
      <c r="E7" s="27" t="s">
        <v>50</v>
      </c>
      <c r="G7" s="26" t="n">
        <v>10</v>
      </c>
      <c r="H7" s="27" t="s">
        <v>23</v>
      </c>
    </row>
    <row r="8" customFormat="false" ht="13.5" hidden="false" customHeight="true" outlineLevel="0" collapsed="false">
      <c r="A8" s="28" t="n">
        <v>40</v>
      </c>
      <c r="B8" s="29" t="s">
        <v>82</v>
      </c>
      <c r="D8" s="28" t="n">
        <v>29</v>
      </c>
      <c r="E8" s="29" t="s">
        <v>60</v>
      </c>
      <c r="G8" s="28" t="n">
        <v>11</v>
      </c>
      <c r="H8" s="29" t="s">
        <v>25</v>
      </c>
    </row>
    <row r="9" customFormat="false" ht="13.5" hidden="false" customHeight="true" outlineLevel="0" collapsed="false">
      <c r="A9" s="30" t="n">
        <v>48</v>
      </c>
      <c r="B9" s="31" t="s">
        <v>98</v>
      </c>
      <c r="D9" s="30" t="n">
        <v>30</v>
      </c>
      <c r="E9" s="31" t="s">
        <v>62</v>
      </c>
      <c r="G9" s="30" t="n">
        <v>13</v>
      </c>
      <c r="H9" s="31" t="s">
        <v>29</v>
      </c>
    </row>
    <row r="10" customFormat="false" ht="13.5" hidden="false" customHeight="true" outlineLevel="0" collapsed="false">
      <c r="A10" s="28" t="n">
        <v>49</v>
      </c>
      <c r="B10" s="29" t="s">
        <v>100</v>
      </c>
      <c r="D10" s="28" t="n">
        <v>31</v>
      </c>
      <c r="E10" s="29" t="s">
        <v>64</v>
      </c>
      <c r="G10" s="28" t="n">
        <v>28</v>
      </c>
      <c r="H10" s="29" t="s">
        <v>58</v>
      </c>
    </row>
    <row r="11" customFormat="false" ht="13.5" hidden="false" customHeight="true" outlineLevel="0" collapsed="false">
      <c r="A11" s="26" t="n">
        <v>53</v>
      </c>
      <c r="B11" s="27" t="s">
        <v>108</v>
      </c>
      <c r="D11" s="26" t="n">
        <v>32</v>
      </c>
      <c r="E11" s="27" t="s">
        <v>66</v>
      </c>
      <c r="G11" s="26" t="n">
        <v>37</v>
      </c>
      <c r="H11" s="27" t="s">
        <v>76</v>
      </c>
    </row>
    <row r="12" customFormat="false" ht="13.5" hidden="false" customHeight="true" outlineLevel="0" collapsed="false">
      <c r="A12" s="28" t="n">
        <v>59</v>
      </c>
      <c r="B12" s="29" t="s">
        <v>120</v>
      </c>
      <c r="D12" s="28" t="n">
        <v>36</v>
      </c>
      <c r="E12" s="29" t="s">
        <v>74</v>
      </c>
      <c r="G12" s="28" t="n">
        <v>43</v>
      </c>
      <c r="H12" s="29" t="s">
        <v>88</v>
      </c>
    </row>
    <row r="13" customFormat="false" ht="13.5" hidden="false" customHeight="true" outlineLevel="0" collapsed="false">
      <c r="A13" s="30" t="n">
        <v>62</v>
      </c>
      <c r="B13" s="31" t="s">
        <v>126</v>
      </c>
      <c r="D13" s="30" t="n">
        <v>39</v>
      </c>
      <c r="E13" s="31" t="s">
        <v>80</v>
      </c>
      <c r="G13" s="30" t="n">
        <v>44</v>
      </c>
      <c r="H13" s="31" t="s">
        <v>90</v>
      </c>
    </row>
    <row r="14" customFormat="false" ht="13.5" hidden="false" customHeight="true" outlineLevel="0" collapsed="false">
      <c r="A14" s="28" t="n">
        <v>63</v>
      </c>
      <c r="B14" s="29" t="s">
        <v>128</v>
      </c>
      <c r="D14" s="28" t="n">
        <v>58</v>
      </c>
      <c r="E14" s="29" t="s">
        <v>118</v>
      </c>
      <c r="G14" s="28" t="n">
        <v>52</v>
      </c>
      <c r="H14" s="29" t="s">
        <v>106</v>
      </c>
    </row>
    <row r="17" customFormat="false" ht="12" hidden="false" customHeight="true" outlineLevel="0" collapsed="false">
      <c r="A17" s="32" t="s">
        <v>134</v>
      </c>
      <c r="B17" s="32"/>
      <c r="D17" s="33" t="s">
        <v>135</v>
      </c>
      <c r="E17" s="33"/>
    </row>
    <row r="18" customFormat="false" ht="12" hidden="false" customHeight="true" outlineLevel="0" collapsed="false">
      <c r="A18" s="25" t="s">
        <v>133</v>
      </c>
      <c r="B18" s="25" t="s">
        <v>1</v>
      </c>
      <c r="D18" s="34" t="s">
        <v>133</v>
      </c>
      <c r="E18" s="25" t="s">
        <v>1</v>
      </c>
    </row>
    <row r="19" customFormat="false" ht="13.5" hidden="false" customHeight="true" outlineLevel="0" collapsed="false">
      <c r="A19" s="26" t="n">
        <v>5</v>
      </c>
      <c r="B19" s="27" t="s">
        <v>13</v>
      </c>
      <c r="D19" s="26" t="n">
        <v>12</v>
      </c>
      <c r="E19" s="27" t="s">
        <v>27</v>
      </c>
    </row>
    <row r="20" customFormat="false" ht="13.5" hidden="false" customHeight="true" outlineLevel="0" collapsed="false">
      <c r="A20" s="28" t="n">
        <v>6</v>
      </c>
      <c r="B20" s="29" t="s">
        <v>15</v>
      </c>
      <c r="D20" s="28" t="n">
        <v>16</v>
      </c>
      <c r="E20" s="29" t="s">
        <v>35</v>
      </c>
    </row>
    <row r="21" customFormat="false" ht="13.5" hidden="false" customHeight="true" outlineLevel="0" collapsed="false">
      <c r="A21" s="30" t="n">
        <v>8</v>
      </c>
      <c r="B21" s="31" t="s">
        <v>19</v>
      </c>
      <c r="D21" s="30" t="n">
        <v>21</v>
      </c>
      <c r="E21" s="31" t="s">
        <v>44</v>
      </c>
    </row>
    <row r="22" customFormat="false" ht="13.5" hidden="false" customHeight="true" outlineLevel="0" collapsed="false">
      <c r="A22" s="28" t="n">
        <v>27</v>
      </c>
      <c r="B22" s="29" t="s">
        <v>56</v>
      </c>
      <c r="D22" s="28" t="n">
        <v>23</v>
      </c>
      <c r="E22" s="29" t="s">
        <v>48</v>
      </c>
    </row>
    <row r="23" customFormat="false" ht="13.5" hidden="false" customHeight="true" outlineLevel="0" collapsed="false">
      <c r="A23" s="26" t="n">
        <v>33</v>
      </c>
      <c r="B23" s="27" t="s">
        <v>68</v>
      </c>
      <c r="D23" s="26" t="n">
        <v>25</v>
      </c>
      <c r="E23" s="27" t="s">
        <v>52</v>
      </c>
    </row>
    <row r="24" customFormat="false" ht="13.5" hidden="false" customHeight="true" outlineLevel="0" collapsed="false">
      <c r="A24" s="28" t="n">
        <v>34</v>
      </c>
      <c r="B24" s="29" t="s">
        <v>70</v>
      </c>
      <c r="D24" s="28" t="n">
        <v>26</v>
      </c>
      <c r="E24" s="29" t="s">
        <v>54</v>
      </c>
    </row>
    <row r="25" customFormat="false" ht="13.5" hidden="false" customHeight="true" outlineLevel="0" collapsed="false">
      <c r="A25" s="30" t="n">
        <v>38</v>
      </c>
      <c r="B25" s="31" t="s">
        <v>78</v>
      </c>
      <c r="D25" s="30" t="n">
        <v>42</v>
      </c>
      <c r="E25" s="31" t="s">
        <v>86</v>
      </c>
    </row>
    <row r="26" customFormat="false" ht="13.5" hidden="false" customHeight="true" outlineLevel="0" collapsed="false">
      <c r="A26" s="28" t="n">
        <v>41</v>
      </c>
      <c r="B26" s="29" t="s">
        <v>84</v>
      </c>
      <c r="D26" s="28" t="n">
        <v>45</v>
      </c>
      <c r="E26" s="29" t="s">
        <v>92</v>
      </c>
    </row>
    <row r="27" customFormat="false" ht="13.5" hidden="false" customHeight="true" outlineLevel="0" collapsed="false">
      <c r="A27" s="26" t="n">
        <v>47</v>
      </c>
      <c r="B27" s="27" t="s">
        <v>96</v>
      </c>
      <c r="D27" s="26" t="n">
        <v>46</v>
      </c>
      <c r="E27" s="27" t="s">
        <v>94</v>
      </c>
    </row>
    <row r="28" customFormat="false" ht="13.5" hidden="false" customHeight="true" outlineLevel="0" collapsed="false">
      <c r="A28" s="28" t="n">
        <v>54</v>
      </c>
      <c r="B28" s="29" t="s">
        <v>110</v>
      </c>
      <c r="D28" s="28" t="n">
        <v>50</v>
      </c>
      <c r="E28" s="29" t="s">
        <v>102</v>
      </c>
    </row>
    <row r="29" customFormat="false" ht="13.5" hidden="false" customHeight="true" outlineLevel="0" collapsed="false">
      <c r="A29" s="30" t="n">
        <v>55</v>
      </c>
      <c r="B29" s="31" t="s">
        <v>112</v>
      </c>
      <c r="D29" s="30" t="n">
        <v>56</v>
      </c>
      <c r="E29" s="31" t="s">
        <v>114</v>
      </c>
    </row>
    <row r="30" customFormat="false" ht="13.5" hidden="false" customHeight="true" outlineLevel="0" collapsed="false">
      <c r="A30" s="28" t="n">
        <v>57</v>
      </c>
      <c r="B30" s="29" t="s">
        <v>116</v>
      </c>
      <c r="D30" s="28" t="n">
        <v>61</v>
      </c>
      <c r="E30" s="29" t="s">
        <v>124</v>
      </c>
    </row>
  </sheetData>
  <mergeCells count="5">
    <mergeCell ref="A1:B1"/>
    <mergeCell ref="D1:E1"/>
    <mergeCell ref="G1:H1"/>
    <mergeCell ref="A17:B17"/>
    <mergeCell ref="D17:E17"/>
  </mergeCells>
  <dataValidations count="1">
    <dataValidation allowBlank="true" errorStyle="stop" operator="between" showDropDown="true" showErrorMessage="false" showInputMessage="false" sqref="A3:A14 D3:D14 G3:G14 A19:A30 D19:D30" type="custom">
      <formula1>AND(ISNUMBER(A3),(NOT(OR(NOT(ISERROR(DATEVALUE(A3))), AND(ISNUMBER(A3), LEFT(CELL("format", A3))="D")))))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B13" activeCellId="0" sqref="B13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0" width="49.42"/>
    <col collapsed="false" customWidth="true" hidden="false" outlineLevel="0" max="2" min="2" style="0" width="18.29"/>
  </cols>
  <sheetData>
    <row r="1" customFormat="false" ht="12" hidden="false" customHeight="true" outlineLevel="0" collapsed="false">
      <c r="A1" s="35" t="s">
        <v>136</v>
      </c>
      <c r="B1" s="35"/>
    </row>
    <row r="2" customFormat="false" ht="12" hidden="false" customHeight="true" outlineLevel="0" collapsed="false">
      <c r="A2" s="34" t="s">
        <v>137</v>
      </c>
      <c r="B2" s="34" t="s">
        <v>138</v>
      </c>
    </row>
    <row r="3" customFormat="false" ht="12" hidden="false" customHeight="true" outlineLevel="0" collapsed="false">
      <c r="A3" s="36" t="s">
        <v>139</v>
      </c>
      <c r="B3" s="37" t="s">
        <v>140</v>
      </c>
    </row>
    <row r="6" customFormat="false" ht="12" hidden="false" customHeight="true" outlineLevel="0" collapsed="false">
      <c r="A6" s="33" t="s">
        <v>141</v>
      </c>
      <c r="B6" s="33"/>
    </row>
    <row r="7" customFormat="false" ht="12" hidden="false" customHeight="true" outlineLevel="0" collapsed="false">
      <c r="A7" s="34" t="s">
        <v>137</v>
      </c>
      <c r="B7" s="34" t="s">
        <v>138</v>
      </c>
    </row>
    <row r="8" customFormat="false" ht="12" hidden="false" customHeight="true" outlineLevel="0" collapsed="false">
      <c r="A8" s="36" t="s">
        <v>142</v>
      </c>
      <c r="B8" s="37" t="s">
        <v>143</v>
      </c>
    </row>
    <row r="11" customFormat="false" ht="12" hidden="false" customHeight="true" outlineLevel="0" collapsed="false">
      <c r="A11" s="38" t="s">
        <v>144</v>
      </c>
      <c r="B11" s="38"/>
    </row>
    <row r="12" customFormat="false" ht="12" hidden="false" customHeight="true" outlineLevel="0" collapsed="false">
      <c r="A12" s="34" t="s">
        <v>137</v>
      </c>
      <c r="B12" s="34" t="s">
        <v>138</v>
      </c>
    </row>
    <row r="13" customFormat="false" ht="12" hidden="false" customHeight="true" outlineLevel="0" collapsed="false">
      <c r="A13" s="36" t="s">
        <v>145</v>
      </c>
      <c r="B13" s="37" t="s">
        <v>146</v>
      </c>
    </row>
  </sheetData>
  <mergeCells count="3">
    <mergeCell ref="A1:B1"/>
    <mergeCell ref="A6:B6"/>
    <mergeCell ref="A11:B11"/>
  </mergeCells>
  <hyperlinks>
    <hyperlink ref="B3" r:id="rId1" display="105 Brigada"/>
    <hyperlink ref="B8" r:id="rId2" display="Planta Bloques Nueva"/>
    <hyperlink ref="B13" r:id="rId3" display="Barrio Los And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47.42"/>
    <col collapsed="false" customWidth="true" hidden="false" outlineLevel="0" max="3" min="3" style="0" width="50.86"/>
    <col collapsed="false" customWidth="true" hidden="false" outlineLevel="0" max="5" min="4" style="0" width="21.29"/>
    <col collapsed="false" customWidth="true" hidden="false" outlineLevel="0" max="6" min="6" style="0" width="22.57"/>
    <col collapsed="false" customWidth="true" hidden="false" outlineLevel="0" max="8" min="8" style="0" width="15.14"/>
    <col collapsed="false" customWidth="true" hidden="false" outlineLevel="0" max="9" min="9" style="0" width="46.29"/>
  </cols>
  <sheetData>
    <row r="1" customFormat="false" ht="24.75" hidden="false" customHeight="true" outlineLevel="0" collapsed="false">
      <c r="A1" s="39" t="s">
        <v>147</v>
      </c>
      <c r="B1" s="39" t="s">
        <v>148</v>
      </c>
      <c r="C1" s="39" t="s">
        <v>149</v>
      </c>
      <c r="D1" s="40" t="s">
        <v>150</v>
      </c>
      <c r="E1" s="40" t="s">
        <v>151</v>
      </c>
      <c r="F1" s="41" t="s">
        <v>152</v>
      </c>
    </row>
    <row r="2" customFormat="false" ht="15.75" hidden="false" customHeight="true" outlineLevel="0" collapsed="false">
      <c r="A2" s="42" t="n">
        <v>1</v>
      </c>
      <c r="B2" s="43" t="s">
        <v>5</v>
      </c>
      <c r="C2" s="44" t="s">
        <v>153</v>
      </c>
      <c r="D2" s="42"/>
      <c r="E2" s="42"/>
      <c r="F2" s="45"/>
      <c r="H2" s="46" t="s">
        <v>154</v>
      </c>
      <c r="I2" s="47" t="s">
        <v>155</v>
      </c>
    </row>
    <row r="3" customFormat="false" ht="15.75" hidden="false" customHeight="true" outlineLevel="0" collapsed="false">
      <c r="A3" s="8"/>
      <c r="B3" s="48" t="s">
        <v>82</v>
      </c>
      <c r="C3" s="49"/>
      <c r="D3" s="50" t="n">
        <f aca="false">260/1000</f>
        <v>0.26</v>
      </c>
      <c r="E3" s="50" t="n">
        <v>1.8</v>
      </c>
      <c r="F3" s="51" t="n">
        <f aca="false">(D3+E3)/2</f>
        <v>1.03</v>
      </c>
      <c r="H3" s="46" t="s">
        <v>156</v>
      </c>
      <c r="I3" s="47" t="s">
        <v>157</v>
      </c>
    </row>
    <row r="4" customFormat="false" ht="15.75" hidden="false" customHeight="true" outlineLevel="0" collapsed="false">
      <c r="A4" s="12"/>
      <c r="B4" s="52" t="s">
        <v>98</v>
      </c>
      <c r="C4" s="53"/>
      <c r="D4" s="12" t="n">
        <v>1</v>
      </c>
      <c r="E4" s="12" t="n">
        <v>2.7</v>
      </c>
      <c r="F4" s="54" t="n">
        <f aca="false">(D4+E4)/2</f>
        <v>1.85</v>
      </c>
    </row>
    <row r="5" customFormat="false" ht="15.75" hidden="false" customHeight="true" outlineLevel="0" collapsed="false">
      <c r="A5" s="8"/>
      <c r="B5" s="48" t="s">
        <v>128</v>
      </c>
      <c r="C5" s="49"/>
      <c r="D5" s="50" t="n">
        <v>2.3</v>
      </c>
      <c r="E5" s="50" t="n">
        <v>1.3</v>
      </c>
      <c r="F5" s="51" t="n">
        <f aca="false">(D5+E5)/2</f>
        <v>1.8</v>
      </c>
    </row>
    <row r="6" customFormat="false" ht="15.75" hidden="false" customHeight="true" outlineLevel="0" collapsed="false">
      <c r="A6" s="55" t="n">
        <v>2</v>
      </c>
      <c r="B6" s="56" t="s">
        <v>7</v>
      </c>
      <c r="C6" s="57" t="s">
        <v>158</v>
      </c>
      <c r="D6" s="55"/>
      <c r="E6" s="55"/>
      <c r="F6" s="58"/>
    </row>
    <row r="7" customFormat="false" ht="15.75" hidden="false" customHeight="true" outlineLevel="0" collapsed="false">
      <c r="A7" s="59"/>
      <c r="B7" s="60" t="s">
        <v>33</v>
      </c>
      <c r="C7" s="49"/>
      <c r="D7" s="50" t="n">
        <v>1.8</v>
      </c>
      <c r="E7" s="50" t="n">
        <v>1</v>
      </c>
      <c r="F7" s="51" t="n">
        <f aca="false">(D7+E7)/2</f>
        <v>1.4</v>
      </c>
    </row>
    <row r="8" customFormat="false" ht="15.75" hidden="false" customHeight="true" outlineLevel="0" collapsed="false">
      <c r="A8" s="61"/>
      <c r="B8" s="62" t="s">
        <v>9</v>
      </c>
      <c r="C8" s="53"/>
      <c r="D8" s="12" t="n">
        <v>1.7</v>
      </c>
      <c r="E8" s="12" t="n">
        <v>3.2</v>
      </c>
      <c r="F8" s="54" t="n">
        <f aca="false">(D8+E8)/2</f>
        <v>2.45</v>
      </c>
    </row>
    <row r="9" customFormat="false" ht="15.75" hidden="false" customHeight="true" outlineLevel="0" collapsed="false">
      <c r="A9" s="59"/>
      <c r="B9" s="60" t="s">
        <v>106</v>
      </c>
      <c r="C9" s="49"/>
      <c r="D9" s="50" t="n">
        <v>2.2</v>
      </c>
      <c r="E9" s="50" t="n">
        <v>3.2</v>
      </c>
      <c r="F9" s="51" t="n">
        <f aca="false">(D9+E9)/2</f>
        <v>2.7</v>
      </c>
    </row>
    <row r="10" customFormat="false" ht="15.75" hidden="false" customHeight="true" outlineLevel="0" collapsed="false">
      <c r="A10" s="55" t="n">
        <v>3</v>
      </c>
      <c r="B10" s="56" t="s">
        <v>9</v>
      </c>
      <c r="C10" s="57" t="s">
        <v>159</v>
      </c>
      <c r="D10" s="55"/>
      <c r="E10" s="55"/>
      <c r="F10" s="58"/>
    </row>
    <row r="11" customFormat="false" ht="15.75" hidden="false" customHeight="true" outlineLevel="0" collapsed="false">
      <c r="A11" s="59"/>
      <c r="B11" s="48" t="s">
        <v>29</v>
      </c>
      <c r="C11" s="49"/>
      <c r="D11" s="63" t="n">
        <f aca="false">700/1000</f>
        <v>0.7</v>
      </c>
      <c r="E11" s="63" t="n">
        <f aca="false">350/1000</f>
        <v>0.35</v>
      </c>
      <c r="F11" s="51" t="n">
        <f aca="false">(D11+E11)/2</f>
        <v>0.525</v>
      </c>
    </row>
    <row r="12" customFormat="false" ht="15.75" hidden="false" customHeight="true" outlineLevel="0" collapsed="false">
      <c r="A12" s="61"/>
      <c r="B12" s="52" t="s">
        <v>106</v>
      </c>
      <c r="C12" s="53"/>
      <c r="D12" s="64" t="n">
        <f aca="false">700/1000</f>
        <v>0.7</v>
      </c>
      <c r="E12" s="12" t="n">
        <v>1.4</v>
      </c>
      <c r="F12" s="54" t="n">
        <f aca="false">(D12+E12)/2</f>
        <v>1.05</v>
      </c>
    </row>
    <row r="13" customFormat="false" ht="15.75" hidden="false" customHeight="true" outlineLevel="0" collapsed="false">
      <c r="A13" s="59"/>
      <c r="B13" s="48" t="s">
        <v>58</v>
      </c>
      <c r="C13" s="49"/>
      <c r="D13" s="63" t="n">
        <f aca="false">650/1000</f>
        <v>0.65</v>
      </c>
      <c r="E13" s="50" t="n">
        <v>1.9</v>
      </c>
      <c r="F13" s="51" t="n">
        <f aca="false">(D13+E13)/2</f>
        <v>1.275</v>
      </c>
    </row>
    <row r="14" customFormat="false" ht="15.75" hidden="false" customHeight="true" outlineLevel="0" collapsed="false">
      <c r="A14" s="55" t="n">
        <v>4</v>
      </c>
      <c r="B14" s="56" t="s">
        <v>11</v>
      </c>
      <c r="C14" s="57" t="s">
        <v>160</v>
      </c>
      <c r="D14" s="55"/>
      <c r="E14" s="55"/>
      <c r="F14" s="58"/>
    </row>
    <row r="15" customFormat="false" ht="15.75" hidden="false" customHeight="true" outlineLevel="0" collapsed="false">
      <c r="A15" s="59"/>
      <c r="B15" s="60" t="s">
        <v>58</v>
      </c>
      <c r="C15" s="49"/>
      <c r="D15" s="50" t="n">
        <v>1.5</v>
      </c>
      <c r="E15" s="50" t="n">
        <v>1.1</v>
      </c>
      <c r="F15" s="51" t="n">
        <f aca="false">(D15+E15)/2</f>
        <v>1.3</v>
      </c>
    </row>
    <row r="16" customFormat="false" ht="15.75" hidden="false" customHeight="true" outlineLevel="0" collapsed="false">
      <c r="A16" s="61"/>
      <c r="B16" s="62" t="s">
        <v>90</v>
      </c>
      <c r="C16" s="53"/>
      <c r="D16" s="12" t="n">
        <v>2.4</v>
      </c>
      <c r="E16" s="12" t="n">
        <v>2</v>
      </c>
      <c r="F16" s="54" t="n">
        <f aca="false">(D16+E16)/2</f>
        <v>2.2</v>
      </c>
    </row>
    <row r="17" customFormat="false" ht="15.75" hidden="false" customHeight="true" outlineLevel="0" collapsed="false">
      <c r="A17" s="59"/>
      <c r="B17" s="60" t="s">
        <v>126</v>
      </c>
      <c r="C17" s="49"/>
      <c r="D17" s="50" t="n">
        <v>2.4</v>
      </c>
      <c r="E17" s="50" t="n">
        <v>2.8</v>
      </c>
      <c r="F17" s="51" t="n">
        <f aca="false">(D17+E17)/2</f>
        <v>2.6</v>
      </c>
    </row>
    <row r="18" customFormat="false" ht="15.75" hidden="false" customHeight="true" outlineLevel="0" collapsed="false">
      <c r="A18" s="55" t="n">
        <v>5</v>
      </c>
      <c r="B18" s="56" t="s">
        <v>13</v>
      </c>
      <c r="C18" s="57" t="s">
        <v>161</v>
      </c>
      <c r="D18" s="55"/>
      <c r="E18" s="55"/>
      <c r="F18" s="58"/>
    </row>
    <row r="19" customFormat="false" ht="15.75" hidden="false" customHeight="true" outlineLevel="0" collapsed="false">
      <c r="A19" s="59"/>
      <c r="B19" s="48" t="s">
        <v>70</v>
      </c>
      <c r="C19" s="49"/>
      <c r="D19" s="50" t="n">
        <v>1</v>
      </c>
      <c r="E19" s="50" t="n">
        <v>1</v>
      </c>
      <c r="F19" s="51" t="n">
        <f aca="false">(D19+E19)/2</f>
        <v>1</v>
      </c>
    </row>
    <row r="20" customFormat="false" ht="15.75" hidden="false" customHeight="true" outlineLevel="0" collapsed="false">
      <c r="A20" s="61"/>
      <c r="B20" s="52" t="s">
        <v>112</v>
      </c>
      <c r="C20" s="53"/>
      <c r="D20" s="12" t="n">
        <v>3.4</v>
      </c>
      <c r="E20" s="12" t="n">
        <v>1.5</v>
      </c>
      <c r="F20" s="54" t="n">
        <f aca="false">(D20+E20)/2</f>
        <v>2.45</v>
      </c>
    </row>
    <row r="21" customFormat="false" ht="15.75" hidden="false" customHeight="true" outlineLevel="0" collapsed="false">
      <c r="A21" s="59"/>
      <c r="B21" s="48" t="s">
        <v>78</v>
      </c>
      <c r="C21" s="49"/>
      <c r="D21" s="50" t="n">
        <v>3.3</v>
      </c>
      <c r="E21" s="50" t="n">
        <v>1.3</v>
      </c>
      <c r="F21" s="51" t="n">
        <f aca="false">(D21+E21)/2</f>
        <v>2.3</v>
      </c>
    </row>
    <row r="22" customFormat="false" ht="15.75" hidden="false" customHeight="true" outlineLevel="0" collapsed="false">
      <c r="A22" s="55" t="n">
        <v>6</v>
      </c>
      <c r="B22" s="56" t="s">
        <v>15</v>
      </c>
      <c r="C22" s="57" t="s">
        <v>162</v>
      </c>
      <c r="D22" s="55"/>
      <c r="E22" s="55"/>
      <c r="F22" s="58"/>
    </row>
    <row r="23" customFormat="false" ht="15.75" hidden="false" customHeight="true" outlineLevel="0" collapsed="false">
      <c r="A23" s="59"/>
      <c r="B23" s="60" t="s">
        <v>84</v>
      </c>
      <c r="C23" s="49"/>
      <c r="D23" s="50" t="n">
        <v>1.7</v>
      </c>
      <c r="E23" s="50" t="n">
        <v>2.6</v>
      </c>
      <c r="F23" s="51" t="n">
        <f aca="false">(D23+E23)/2</f>
        <v>2.15</v>
      </c>
    </row>
    <row r="24" customFormat="false" ht="15.75" hidden="false" customHeight="true" outlineLevel="0" collapsed="false">
      <c r="A24" s="61"/>
      <c r="B24" s="62" t="s">
        <v>116</v>
      </c>
      <c r="C24" s="53"/>
      <c r="D24" s="12" t="n">
        <v>4.7</v>
      </c>
      <c r="E24" s="12" t="n">
        <v>2.7</v>
      </c>
      <c r="F24" s="54" t="n">
        <f aca="false">(D24+E24)/2</f>
        <v>3.7</v>
      </c>
    </row>
    <row r="25" customFormat="false" ht="15.75" hidden="false" customHeight="true" outlineLevel="0" collapsed="false">
      <c r="A25" s="59"/>
      <c r="B25" s="60" t="s">
        <v>96</v>
      </c>
      <c r="C25" s="49"/>
      <c r="D25" s="50" t="n">
        <v>4.3</v>
      </c>
      <c r="E25" s="50" t="n">
        <v>3.2</v>
      </c>
      <c r="F25" s="51" t="n">
        <f aca="false">(D25+E25)/2</f>
        <v>3.75</v>
      </c>
    </row>
    <row r="26" customFormat="false" ht="15.75" hidden="false" customHeight="true" outlineLevel="0" collapsed="false">
      <c r="A26" s="55" t="n">
        <v>7</v>
      </c>
      <c r="B26" s="56" t="s">
        <v>17</v>
      </c>
      <c r="C26" s="57" t="s">
        <v>163</v>
      </c>
      <c r="D26" s="55"/>
      <c r="E26" s="55"/>
      <c r="F26" s="58"/>
    </row>
    <row r="27" customFormat="false" ht="15.75" hidden="false" customHeight="true" outlineLevel="0" collapsed="false">
      <c r="A27" s="59"/>
      <c r="B27" s="48" t="s">
        <v>96</v>
      </c>
      <c r="C27" s="49"/>
      <c r="D27" s="50" t="n">
        <v>1.5</v>
      </c>
      <c r="E27" s="50" t="n">
        <v>3.2</v>
      </c>
      <c r="F27" s="51" t="n">
        <f aca="false">(D27+E27)/2</f>
        <v>2.35</v>
      </c>
    </row>
    <row r="28" customFormat="false" ht="15.75" hidden="false" customHeight="true" outlineLevel="0" collapsed="false">
      <c r="A28" s="61"/>
      <c r="B28" s="52" t="s">
        <v>116</v>
      </c>
      <c r="C28" s="53"/>
      <c r="D28" s="12" t="n">
        <v>1.9</v>
      </c>
      <c r="E28" s="12" t="n">
        <v>2.8</v>
      </c>
      <c r="F28" s="54" t="n">
        <f aca="false">(D28+E28)/2</f>
        <v>2.35</v>
      </c>
    </row>
    <row r="29" customFormat="false" ht="15.75" hidden="false" customHeight="true" outlineLevel="0" collapsed="false">
      <c r="A29" s="59"/>
      <c r="B29" s="48" t="s">
        <v>66</v>
      </c>
      <c r="C29" s="49"/>
      <c r="D29" s="50" t="n">
        <v>3.9</v>
      </c>
      <c r="E29" s="50" t="n">
        <v>2.1</v>
      </c>
      <c r="F29" s="51" t="n">
        <f aca="false">(D29+E29)/2</f>
        <v>3</v>
      </c>
    </row>
    <row r="30" customFormat="false" ht="15.75" hidden="false" customHeight="true" outlineLevel="0" collapsed="false">
      <c r="A30" s="55" t="n">
        <v>8</v>
      </c>
      <c r="B30" s="56" t="s">
        <v>19</v>
      </c>
      <c r="C30" s="57" t="s">
        <v>164</v>
      </c>
      <c r="D30" s="55"/>
      <c r="E30" s="55"/>
      <c r="F30" s="58"/>
    </row>
    <row r="31" customFormat="false" ht="15.75" hidden="false" customHeight="true" outlineLevel="0" collapsed="false">
      <c r="A31" s="59"/>
      <c r="B31" s="60" t="s">
        <v>56</v>
      </c>
      <c r="C31" s="49"/>
      <c r="D31" s="63" t="n">
        <f aca="false">700/1000</f>
        <v>0.7</v>
      </c>
      <c r="E31" s="50" t="n">
        <v>5.3</v>
      </c>
      <c r="F31" s="51" t="n">
        <f aca="false">(D31+E31)/2</f>
        <v>3</v>
      </c>
    </row>
    <row r="32" customFormat="false" ht="15.75" hidden="false" customHeight="true" outlineLevel="0" collapsed="false">
      <c r="A32" s="61"/>
      <c r="B32" s="62" t="s">
        <v>78</v>
      </c>
      <c r="C32" s="53"/>
      <c r="D32" s="12" t="n">
        <v>1.8</v>
      </c>
      <c r="E32" s="12" t="n">
        <v>3.2</v>
      </c>
      <c r="F32" s="54" t="n">
        <f aca="false">(D32+E32)/2</f>
        <v>2.5</v>
      </c>
    </row>
    <row r="33" customFormat="false" ht="15.75" hidden="false" customHeight="true" outlineLevel="0" collapsed="false">
      <c r="A33" s="59"/>
      <c r="B33" s="60" t="s">
        <v>13</v>
      </c>
      <c r="C33" s="49"/>
      <c r="D33" s="50" t="n">
        <v>3.6</v>
      </c>
      <c r="E33" s="50" t="n">
        <v>3.7</v>
      </c>
      <c r="F33" s="51" t="n">
        <f aca="false">(D33+E33)/2</f>
        <v>3.65</v>
      </c>
    </row>
    <row r="34" customFormat="false" ht="15.75" hidden="false" customHeight="true" outlineLevel="0" collapsed="false">
      <c r="A34" s="55" t="n">
        <v>9</v>
      </c>
      <c r="B34" s="56" t="s">
        <v>21</v>
      </c>
      <c r="C34" s="57" t="s">
        <v>165</v>
      </c>
      <c r="D34" s="55"/>
      <c r="E34" s="55"/>
      <c r="F34" s="58"/>
    </row>
    <row r="35" customFormat="false" ht="15.75" hidden="false" customHeight="true" outlineLevel="0" collapsed="false">
      <c r="A35" s="59"/>
      <c r="B35" s="48" t="s">
        <v>23</v>
      </c>
      <c r="C35" s="49"/>
      <c r="D35" s="50" t="n">
        <v>1.1</v>
      </c>
      <c r="E35" s="50" t="n">
        <v>1.2</v>
      </c>
      <c r="F35" s="51" t="n">
        <f aca="false">(D35+E35)/2</f>
        <v>1.15</v>
      </c>
    </row>
    <row r="36" customFormat="false" ht="15.75" hidden="false" customHeight="true" outlineLevel="0" collapsed="false">
      <c r="A36" s="61"/>
      <c r="B36" s="52" t="s">
        <v>88</v>
      </c>
      <c r="C36" s="53"/>
      <c r="D36" s="12" t="n">
        <v>1.3</v>
      </c>
      <c r="E36" s="12" t="n">
        <v>1.9</v>
      </c>
      <c r="F36" s="54" t="n">
        <f aca="false">(D36+E36)/2</f>
        <v>1.6</v>
      </c>
    </row>
    <row r="37" customFormat="false" ht="15.75" hidden="false" customHeight="true" outlineLevel="0" collapsed="false">
      <c r="A37" s="59"/>
      <c r="B37" s="48" t="s">
        <v>29</v>
      </c>
      <c r="C37" s="49"/>
      <c r="D37" s="50" t="n">
        <v>1.4</v>
      </c>
      <c r="E37" s="50" t="n">
        <v>1.5</v>
      </c>
      <c r="F37" s="51" t="n">
        <f aca="false">(D37+E37)/2</f>
        <v>1.45</v>
      </c>
    </row>
    <row r="38" customFormat="false" ht="15.75" hidden="false" customHeight="true" outlineLevel="0" collapsed="false">
      <c r="A38" s="55" t="n">
        <v>10</v>
      </c>
      <c r="B38" s="56" t="s">
        <v>23</v>
      </c>
      <c r="C38" s="57" t="s">
        <v>166</v>
      </c>
      <c r="D38" s="55"/>
      <c r="E38" s="55"/>
      <c r="F38" s="58"/>
    </row>
    <row r="39" customFormat="false" ht="15.75" hidden="false" customHeight="true" outlineLevel="0" collapsed="false">
      <c r="A39" s="59"/>
      <c r="B39" s="60" t="s">
        <v>76</v>
      </c>
      <c r="C39" s="49"/>
      <c r="D39" s="63" t="n">
        <f aca="false">900/1000</f>
        <v>0.9</v>
      </c>
      <c r="E39" s="63" t="n">
        <f aca="false">850/1000</f>
        <v>0.85</v>
      </c>
      <c r="F39" s="51" t="n">
        <f aca="false">(D39+E39)/2</f>
        <v>0.875</v>
      </c>
    </row>
    <row r="40" customFormat="false" ht="15.75" hidden="false" customHeight="true" outlineLevel="0" collapsed="false">
      <c r="A40" s="61"/>
      <c r="B40" s="62" t="s">
        <v>21</v>
      </c>
      <c r="C40" s="53"/>
      <c r="D40" s="12" t="n">
        <v>1.2</v>
      </c>
      <c r="E40" s="12" t="n">
        <v>1.1</v>
      </c>
      <c r="F40" s="54" t="n">
        <f aca="false">(D40+E40)/2</f>
        <v>1.15</v>
      </c>
    </row>
    <row r="41" customFormat="false" ht="15.75" hidden="false" customHeight="true" outlineLevel="0" collapsed="false">
      <c r="A41" s="59"/>
      <c r="B41" s="60" t="s">
        <v>94</v>
      </c>
      <c r="C41" s="49"/>
      <c r="D41" s="50" t="n">
        <v>1.4</v>
      </c>
      <c r="E41" s="50" t="n">
        <v>1.3</v>
      </c>
      <c r="F41" s="51" t="n">
        <f aca="false">(D41+E41)/2</f>
        <v>1.35</v>
      </c>
    </row>
    <row r="42" customFormat="false" ht="15.75" hidden="false" customHeight="true" outlineLevel="0" collapsed="false">
      <c r="A42" s="55" t="n">
        <v>11</v>
      </c>
      <c r="B42" s="56" t="s">
        <v>25</v>
      </c>
      <c r="C42" s="57" t="s">
        <v>167</v>
      </c>
      <c r="D42" s="55"/>
      <c r="E42" s="55"/>
      <c r="F42" s="58"/>
    </row>
    <row r="43" customFormat="false" ht="15.75" hidden="false" customHeight="true" outlineLevel="0" collapsed="false">
      <c r="A43" s="59"/>
      <c r="B43" s="48" t="s">
        <v>7</v>
      </c>
      <c r="C43" s="49"/>
      <c r="D43" s="50" t="n">
        <v>4.9</v>
      </c>
      <c r="E43" s="50" t="n">
        <v>2.7</v>
      </c>
      <c r="F43" s="51" t="n">
        <f aca="false">(D43+E43)/2</f>
        <v>3.8</v>
      </c>
    </row>
    <row r="44" customFormat="false" ht="15.75" hidden="false" customHeight="true" outlineLevel="0" collapsed="false">
      <c r="A44" s="61"/>
      <c r="B44" s="52" t="s">
        <v>90</v>
      </c>
      <c r="C44" s="53"/>
      <c r="D44" s="12" t="n">
        <v>4.2</v>
      </c>
      <c r="E44" s="12" t="n">
        <v>2.6</v>
      </c>
      <c r="F44" s="54" t="n">
        <f aca="false">(D44+E44)/2</f>
        <v>3.4</v>
      </c>
    </row>
    <row r="45" customFormat="false" ht="15.75" hidden="false" customHeight="true" outlineLevel="0" collapsed="false">
      <c r="A45" s="59"/>
      <c r="B45" s="48" t="s">
        <v>58</v>
      </c>
      <c r="C45" s="49"/>
      <c r="D45" s="50" t="n">
        <v>3.4</v>
      </c>
      <c r="E45" s="50" t="n">
        <v>3.1</v>
      </c>
      <c r="F45" s="51" t="n">
        <f aca="false">(D45+E45)/2</f>
        <v>3.25</v>
      </c>
    </row>
    <row r="46" customFormat="false" ht="15.75" hidden="false" customHeight="true" outlineLevel="0" collapsed="false">
      <c r="A46" s="55" t="n">
        <v>12</v>
      </c>
      <c r="B46" s="56" t="s">
        <v>27</v>
      </c>
      <c r="C46" s="57" t="s">
        <v>168</v>
      </c>
      <c r="D46" s="55"/>
      <c r="E46" s="55"/>
      <c r="F46" s="58"/>
    </row>
    <row r="47" customFormat="false" ht="15.75" hidden="false" customHeight="true" outlineLevel="0" collapsed="false">
      <c r="A47" s="59"/>
      <c r="B47" s="60" t="s">
        <v>124</v>
      </c>
      <c r="C47" s="49"/>
      <c r="D47" s="50" t="n">
        <v>1</v>
      </c>
      <c r="E47" s="63" t="n">
        <f aca="false">700/1000</f>
        <v>0.7</v>
      </c>
      <c r="F47" s="51" t="n">
        <f aca="false">(D47+E47)/2</f>
        <v>0.85</v>
      </c>
    </row>
    <row r="48" customFormat="false" ht="15.75" hidden="false" customHeight="true" outlineLevel="0" collapsed="false">
      <c r="A48" s="61"/>
      <c r="B48" s="62" t="s">
        <v>88</v>
      </c>
      <c r="C48" s="53"/>
      <c r="D48" s="12" t="n">
        <v>1.4</v>
      </c>
      <c r="E48" s="12" t="n">
        <v>1.5</v>
      </c>
      <c r="F48" s="54" t="n">
        <f aca="false">(D48+E48)/2</f>
        <v>1.45</v>
      </c>
    </row>
    <row r="49" customFormat="false" ht="15.75" hidden="false" customHeight="true" outlineLevel="0" collapsed="false">
      <c r="A49" s="59"/>
      <c r="B49" s="60" t="s">
        <v>29</v>
      </c>
      <c r="C49" s="49"/>
      <c r="D49" s="50" t="n">
        <v>3.1</v>
      </c>
      <c r="E49" s="50" t="n">
        <v>2.1</v>
      </c>
      <c r="F49" s="51" t="n">
        <f aca="false">(D49+E49)/2</f>
        <v>2.6</v>
      </c>
    </row>
    <row r="50" customFormat="false" ht="15.75" hidden="false" customHeight="true" outlineLevel="0" collapsed="false">
      <c r="A50" s="55" t="n">
        <v>13</v>
      </c>
      <c r="B50" s="56" t="s">
        <v>29</v>
      </c>
      <c r="C50" s="57" t="s">
        <v>169</v>
      </c>
      <c r="D50" s="55"/>
      <c r="E50" s="55"/>
      <c r="F50" s="58"/>
    </row>
    <row r="51" customFormat="false" ht="15.75" hidden="false" customHeight="true" outlineLevel="0" collapsed="false">
      <c r="A51" s="59"/>
      <c r="B51" s="48" t="s">
        <v>9</v>
      </c>
      <c r="C51" s="49"/>
      <c r="D51" s="63" t="n">
        <f aca="false">350/1000</f>
        <v>0.35</v>
      </c>
      <c r="E51" s="63" t="n">
        <f aca="false">700/1000</f>
        <v>0.7</v>
      </c>
      <c r="F51" s="51" t="n">
        <f aca="false">(D51+E51)/2</f>
        <v>0.525</v>
      </c>
    </row>
    <row r="52" customFormat="false" ht="15.75" hidden="false" customHeight="true" outlineLevel="0" collapsed="false">
      <c r="A52" s="61"/>
      <c r="B52" s="52" t="s">
        <v>106</v>
      </c>
      <c r="C52" s="53"/>
      <c r="D52" s="12" t="n">
        <v>1</v>
      </c>
      <c r="E52" s="12" t="n">
        <v>2.1</v>
      </c>
      <c r="F52" s="54" t="n">
        <f aca="false">(D52+E52)/2</f>
        <v>1.55</v>
      </c>
    </row>
    <row r="53" customFormat="false" ht="15.75" hidden="false" customHeight="true" outlineLevel="0" collapsed="false">
      <c r="A53" s="59"/>
      <c r="B53" s="48" t="s">
        <v>88</v>
      </c>
      <c r="C53" s="49"/>
      <c r="D53" s="63" t="n">
        <f aca="false">900/1000</f>
        <v>0.9</v>
      </c>
      <c r="E53" s="50" t="n">
        <v>1.9</v>
      </c>
      <c r="F53" s="51" t="n">
        <f aca="false">(D53+E53)/2</f>
        <v>1.4</v>
      </c>
    </row>
    <row r="54" customFormat="false" ht="15.75" hidden="false" customHeight="true" outlineLevel="0" collapsed="false">
      <c r="A54" s="55" t="n">
        <v>14</v>
      </c>
      <c r="B54" s="56" t="s">
        <v>31</v>
      </c>
      <c r="C54" s="57" t="s">
        <v>170</v>
      </c>
      <c r="D54" s="55"/>
      <c r="E54" s="55"/>
      <c r="F54" s="58"/>
    </row>
    <row r="55" customFormat="false" ht="15.75" hidden="false" customHeight="true" outlineLevel="0" collapsed="false">
      <c r="A55" s="59"/>
      <c r="B55" s="60" t="s">
        <v>40</v>
      </c>
      <c r="C55" s="49"/>
      <c r="D55" s="50" t="n">
        <v>2.2</v>
      </c>
      <c r="E55" s="50" t="n">
        <v>1.4</v>
      </c>
      <c r="F55" s="51" t="n">
        <f aca="false">(D55+E55)/2</f>
        <v>1.8</v>
      </c>
    </row>
    <row r="56" customFormat="false" ht="15.75" hidden="false" customHeight="true" outlineLevel="0" collapsed="false">
      <c r="A56" s="61"/>
      <c r="B56" s="62" t="s">
        <v>38</v>
      </c>
      <c r="C56" s="53"/>
      <c r="D56" s="12" t="n">
        <v>2.2</v>
      </c>
      <c r="E56" s="12" t="n">
        <v>1.3</v>
      </c>
      <c r="F56" s="54" t="n">
        <f aca="false">(D56+E56)/2</f>
        <v>1.75</v>
      </c>
    </row>
    <row r="57" customFormat="false" ht="15.75" hidden="false" customHeight="true" outlineLevel="0" collapsed="false">
      <c r="A57" s="59"/>
      <c r="B57" s="60" t="s">
        <v>72</v>
      </c>
      <c r="C57" s="49"/>
      <c r="D57" s="50" t="n">
        <v>1.7</v>
      </c>
      <c r="E57" s="50" t="n">
        <v>2</v>
      </c>
      <c r="F57" s="51" t="n">
        <f aca="false">(D57+E57)/2</f>
        <v>1.85</v>
      </c>
    </row>
    <row r="58" customFormat="false" ht="15.75" hidden="false" customHeight="true" outlineLevel="0" collapsed="false">
      <c r="A58" s="55" t="n">
        <v>15</v>
      </c>
      <c r="B58" s="56" t="s">
        <v>33</v>
      </c>
      <c r="C58" s="57" t="s">
        <v>171</v>
      </c>
      <c r="D58" s="55"/>
      <c r="E58" s="55"/>
      <c r="F58" s="58"/>
    </row>
    <row r="59" customFormat="false" ht="15.75" hidden="false" customHeight="true" outlineLevel="0" collapsed="false">
      <c r="A59" s="59"/>
      <c r="B59" s="48" t="s">
        <v>7</v>
      </c>
      <c r="C59" s="49"/>
      <c r="D59" s="50" t="n">
        <v>1</v>
      </c>
      <c r="E59" s="50" t="n">
        <v>1.8</v>
      </c>
      <c r="F59" s="51" t="n">
        <f aca="false">(D59+E59)/2</f>
        <v>1.4</v>
      </c>
    </row>
    <row r="60" customFormat="false" ht="15.75" hidden="false" customHeight="true" outlineLevel="0" collapsed="false">
      <c r="A60" s="61"/>
      <c r="B60" s="52" t="s">
        <v>36</v>
      </c>
      <c r="C60" s="53"/>
      <c r="D60" s="12" t="n">
        <v>1.2</v>
      </c>
      <c r="E60" s="12" t="n">
        <v>1.2</v>
      </c>
      <c r="F60" s="54" t="n">
        <f aca="false">(D60+E60)/2</f>
        <v>1.2</v>
      </c>
    </row>
    <row r="61" customFormat="false" ht="15.75" hidden="false" customHeight="true" outlineLevel="0" collapsed="false">
      <c r="A61" s="59"/>
      <c r="B61" s="48" t="s">
        <v>80</v>
      </c>
      <c r="C61" s="49"/>
      <c r="D61" s="50" t="n">
        <v>2</v>
      </c>
      <c r="E61" s="50" t="n">
        <v>1.5</v>
      </c>
      <c r="F61" s="51" t="n">
        <f aca="false">(D61+E61)/2</f>
        <v>1.75</v>
      </c>
    </row>
    <row r="62" customFormat="false" ht="15.75" hidden="false" customHeight="true" outlineLevel="0" collapsed="false">
      <c r="A62" s="55" t="n">
        <v>16</v>
      </c>
      <c r="B62" s="56" t="s">
        <v>35</v>
      </c>
      <c r="C62" s="57" t="s">
        <v>172</v>
      </c>
      <c r="D62" s="55"/>
      <c r="E62" s="55"/>
      <c r="F62" s="58"/>
    </row>
    <row r="63" customFormat="false" ht="15.75" hidden="false" customHeight="true" outlineLevel="0" collapsed="false">
      <c r="A63" s="59"/>
      <c r="B63" s="60" t="s">
        <v>102</v>
      </c>
      <c r="C63" s="49"/>
      <c r="D63" s="63" t="n">
        <f aca="false">650/1000</f>
        <v>0.65</v>
      </c>
      <c r="E63" s="63" t="n">
        <f aca="false">350/1000</f>
        <v>0.35</v>
      </c>
      <c r="F63" s="51" t="n">
        <f aca="false">(D63+E63)/2</f>
        <v>0.5</v>
      </c>
    </row>
    <row r="64" customFormat="false" ht="15.75" hidden="false" customHeight="true" outlineLevel="0" collapsed="false">
      <c r="A64" s="61"/>
      <c r="B64" s="62" t="s">
        <v>52</v>
      </c>
      <c r="C64" s="53"/>
      <c r="D64" s="64" t="n">
        <f aca="false">500/1000</f>
        <v>0.5</v>
      </c>
      <c r="E64" s="12" t="n">
        <v>1.6</v>
      </c>
      <c r="F64" s="54" t="n">
        <f aca="false">(D64+E64)/2</f>
        <v>1.05</v>
      </c>
    </row>
    <row r="65" customFormat="false" ht="15.75" hidden="false" customHeight="true" outlineLevel="0" collapsed="false">
      <c r="A65" s="59"/>
      <c r="B65" s="60" t="s">
        <v>48</v>
      </c>
      <c r="C65" s="49"/>
      <c r="D65" s="63" t="n">
        <f aca="false">900/1000</f>
        <v>0.9</v>
      </c>
      <c r="E65" s="63" t="n">
        <f aca="false">850/1000</f>
        <v>0.85</v>
      </c>
      <c r="F65" s="51" t="n">
        <f aca="false">(D65+E65)/2</f>
        <v>0.875</v>
      </c>
    </row>
    <row r="66" customFormat="false" ht="15.75" hidden="false" customHeight="true" outlineLevel="0" collapsed="false">
      <c r="A66" s="55" t="n">
        <v>17</v>
      </c>
      <c r="B66" s="56" t="s">
        <v>36</v>
      </c>
      <c r="C66" s="57" t="s">
        <v>173</v>
      </c>
      <c r="D66" s="55"/>
      <c r="E66" s="55"/>
      <c r="F66" s="58"/>
    </row>
    <row r="67" customFormat="false" ht="15.75" hidden="false" customHeight="true" outlineLevel="0" collapsed="false">
      <c r="A67" s="59"/>
      <c r="B67" s="48" t="s">
        <v>64</v>
      </c>
      <c r="C67" s="49"/>
      <c r="D67" s="50" t="n">
        <v>1.1</v>
      </c>
      <c r="E67" s="50" t="n">
        <v>1</v>
      </c>
      <c r="F67" s="51" t="n">
        <f aca="false">(D67+E67)/2</f>
        <v>1.05</v>
      </c>
    </row>
    <row r="68" customFormat="false" ht="15.75" hidden="false" customHeight="true" outlineLevel="0" collapsed="false">
      <c r="A68" s="61"/>
      <c r="B68" s="52" t="s">
        <v>80</v>
      </c>
      <c r="C68" s="53"/>
      <c r="D68" s="12" t="n">
        <v>1.8</v>
      </c>
      <c r="E68" s="12" t="n">
        <v>1.1</v>
      </c>
      <c r="F68" s="54" t="n">
        <f aca="false">(D68+E68)/2</f>
        <v>1.45</v>
      </c>
    </row>
    <row r="69" customFormat="false" ht="15.75" hidden="false" customHeight="true" outlineLevel="0" collapsed="false">
      <c r="A69" s="59"/>
      <c r="B69" s="48" t="s">
        <v>33</v>
      </c>
      <c r="C69" s="49"/>
      <c r="D69" s="50" t="n">
        <v>1.2</v>
      </c>
      <c r="E69" s="50" t="n">
        <v>1.2</v>
      </c>
      <c r="F69" s="51" t="n">
        <f aca="false">(D69+E69)/2</f>
        <v>1.2</v>
      </c>
    </row>
    <row r="70" customFormat="false" ht="15.75" hidden="false" customHeight="true" outlineLevel="0" collapsed="false">
      <c r="A70" s="55" t="n">
        <v>18</v>
      </c>
      <c r="B70" s="56" t="s">
        <v>38</v>
      </c>
      <c r="C70" s="57" t="s">
        <v>174</v>
      </c>
      <c r="D70" s="55"/>
      <c r="E70" s="55"/>
      <c r="F70" s="58"/>
    </row>
    <row r="71" customFormat="false" ht="15.75" hidden="false" customHeight="true" outlineLevel="0" collapsed="false">
      <c r="A71" s="59"/>
      <c r="B71" s="60" t="s">
        <v>40</v>
      </c>
      <c r="C71" s="49"/>
      <c r="D71" s="63" t="n">
        <f aca="false">750/1000</f>
        <v>0.75</v>
      </c>
      <c r="E71" s="63" t="n">
        <f aca="false">120/1000</f>
        <v>0.12</v>
      </c>
      <c r="F71" s="51" t="n">
        <f aca="false">(D71+E71)/2</f>
        <v>0.435</v>
      </c>
    </row>
    <row r="72" customFormat="false" ht="15.75" hidden="false" customHeight="true" outlineLevel="0" collapsed="false">
      <c r="A72" s="61"/>
      <c r="B72" s="62" t="s">
        <v>31</v>
      </c>
      <c r="C72" s="53"/>
      <c r="D72" s="12" t="n">
        <v>1.3</v>
      </c>
      <c r="E72" s="12" t="n">
        <v>2.2</v>
      </c>
      <c r="F72" s="54" t="n">
        <f aca="false">(D72+E72)/2</f>
        <v>1.75</v>
      </c>
    </row>
    <row r="73" customFormat="false" ht="15.75" hidden="false" customHeight="true" outlineLevel="0" collapsed="false">
      <c r="A73" s="59"/>
      <c r="B73" s="60" t="s">
        <v>100</v>
      </c>
      <c r="C73" s="49"/>
      <c r="D73" s="50" t="n">
        <v>1.6</v>
      </c>
      <c r="E73" s="50" t="n">
        <v>1.3</v>
      </c>
      <c r="F73" s="51" t="n">
        <f aca="false">(D73+E73)/2</f>
        <v>1.45</v>
      </c>
    </row>
    <row r="74" customFormat="false" ht="15.75" hidden="false" customHeight="true" outlineLevel="0" collapsed="false">
      <c r="A74" s="55" t="n">
        <v>19</v>
      </c>
      <c r="B74" s="56" t="s">
        <v>40</v>
      </c>
      <c r="C74" s="57" t="s">
        <v>175</v>
      </c>
      <c r="D74" s="55"/>
      <c r="E74" s="55"/>
      <c r="F74" s="58"/>
    </row>
    <row r="75" customFormat="false" ht="15.75" hidden="false" customHeight="true" outlineLevel="0" collapsed="false">
      <c r="A75" s="59"/>
      <c r="B75" s="48" t="s">
        <v>38</v>
      </c>
      <c r="C75" s="49"/>
      <c r="D75" s="63" t="n">
        <f aca="false">120/1000</f>
        <v>0.12</v>
      </c>
      <c r="E75" s="63" t="n">
        <f aca="false">750/1000</f>
        <v>0.75</v>
      </c>
      <c r="F75" s="51" t="n">
        <f aca="false">(D75+E75)/2</f>
        <v>0.435</v>
      </c>
    </row>
    <row r="76" customFormat="false" ht="15.75" hidden="false" customHeight="true" outlineLevel="0" collapsed="false">
      <c r="A76" s="61"/>
      <c r="B76" s="52" t="s">
        <v>31</v>
      </c>
      <c r="C76" s="53"/>
      <c r="D76" s="12" t="n">
        <v>1.4</v>
      </c>
      <c r="E76" s="12" t="n">
        <v>2.2</v>
      </c>
      <c r="F76" s="54" t="n">
        <f aca="false">(D76+E76)/2</f>
        <v>1.8</v>
      </c>
    </row>
    <row r="77" customFormat="false" ht="15.75" hidden="false" customHeight="true" outlineLevel="0" collapsed="false">
      <c r="A77" s="59"/>
      <c r="B77" s="48" t="s">
        <v>100</v>
      </c>
      <c r="C77" s="49"/>
      <c r="D77" s="50" t="n">
        <v>1.7</v>
      </c>
      <c r="E77" s="50" t="n">
        <v>1.2</v>
      </c>
      <c r="F77" s="51" t="n">
        <f aca="false">(D77+E77)/2</f>
        <v>1.45</v>
      </c>
    </row>
    <row r="78" customFormat="false" ht="15.75" hidden="false" customHeight="true" outlineLevel="0" collapsed="false">
      <c r="A78" s="55" t="n">
        <v>20</v>
      </c>
      <c r="B78" s="56" t="s">
        <v>42</v>
      </c>
      <c r="C78" s="57" t="s">
        <v>176</v>
      </c>
      <c r="D78" s="55"/>
      <c r="E78" s="55"/>
      <c r="F78" s="58"/>
    </row>
    <row r="79" customFormat="false" ht="15.75" hidden="false" customHeight="true" outlineLevel="0" collapsed="false">
      <c r="A79" s="59"/>
      <c r="B79" s="60" t="s">
        <v>62</v>
      </c>
      <c r="C79" s="49"/>
      <c r="D79" s="50" t="n">
        <v>1.5</v>
      </c>
      <c r="E79" s="50" t="n">
        <v>1.1</v>
      </c>
      <c r="F79" s="51" t="n">
        <f aca="false">(D79+E79)/2</f>
        <v>1.3</v>
      </c>
    </row>
    <row r="80" customFormat="false" ht="15.75" hidden="false" customHeight="true" outlineLevel="0" collapsed="false">
      <c r="A80" s="61"/>
      <c r="B80" s="62" t="s">
        <v>60</v>
      </c>
      <c r="C80" s="53"/>
      <c r="D80" s="12" t="n">
        <v>1.5</v>
      </c>
      <c r="E80" s="12" t="n">
        <v>1.1</v>
      </c>
      <c r="F80" s="54" t="n">
        <f aca="false">(D80+E80)/2</f>
        <v>1.3</v>
      </c>
    </row>
    <row r="81" customFormat="false" ht="15.75" hidden="false" customHeight="true" outlineLevel="0" collapsed="false">
      <c r="A81" s="59"/>
      <c r="B81" s="60" t="s">
        <v>118</v>
      </c>
      <c r="C81" s="49"/>
      <c r="D81" s="50" t="n">
        <v>1.9</v>
      </c>
      <c r="E81" s="50" t="n">
        <v>1.7</v>
      </c>
      <c r="F81" s="51" t="n">
        <f aca="false">(D81+E81)/2</f>
        <v>1.8</v>
      </c>
    </row>
    <row r="82" customFormat="false" ht="15.75" hidden="false" customHeight="true" outlineLevel="0" collapsed="false">
      <c r="A82" s="55" t="n">
        <v>21</v>
      </c>
      <c r="B82" s="56" t="s">
        <v>44</v>
      </c>
      <c r="C82" s="57" t="s">
        <v>177</v>
      </c>
      <c r="D82" s="55"/>
      <c r="E82" s="55"/>
      <c r="F82" s="58"/>
    </row>
    <row r="83" customFormat="false" ht="15.75" hidden="false" customHeight="true" outlineLevel="0" collapsed="false">
      <c r="A83" s="59"/>
      <c r="B83" s="48" t="s">
        <v>86</v>
      </c>
      <c r="C83" s="49"/>
      <c r="D83" s="50" t="n">
        <v>1.3</v>
      </c>
      <c r="E83" s="50" t="n">
        <v>1</v>
      </c>
      <c r="F83" s="51" t="n">
        <f aca="false">(D83+E83)/2</f>
        <v>1.15</v>
      </c>
    </row>
    <row r="84" customFormat="false" ht="15.75" hidden="false" customHeight="true" outlineLevel="0" collapsed="false">
      <c r="A84" s="61"/>
      <c r="B84" s="52" t="s">
        <v>92</v>
      </c>
      <c r="C84" s="53"/>
      <c r="D84" s="12" t="n">
        <v>1.3</v>
      </c>
      <c r="E84" s="12" t="n">
        <v>1.5</v>
      </c>
      <c r="F84" s="54" t="n">
        <f aca="false">(D84+E84)/2</f>
        <v>1.4</v>
      </c>
    </row>
    <row r="85" customFormat="false" ht="15.75" hidden="false" customHeight="true" outlineLevel="0" collapsed="false">
      <c r="A85" s="59"/>
      <c r="B85" s="48" t="s">
        <v>94</v>
      </c>
      <c r="C85" s="49"/>
      <c r="D85" s="50" t="n">
        <v>1.4</v>
      </c>
      <c r="E85" s="50" t="n">
        <v>1.4</v>
      </c>
      <c r="F85" s="51" t="n">
        <f aca="false">(D85+E85)/2</f>
        <v>1.4</v>
      </c>
    </row>
    <row r="86" customFormat="false" ht="15.75" hidden="false" customHeight="true" outlineLevel="0" collapsed="false">
      <c r="A86" s="65" t="n">
        <v>22</v>
      </c>
      <c r="B86" s="66" t="s">
        <v>46</v>
      </c>
      <c r="C86" s="67" t="s">
        <v>178</v>
      </c>
      <c r="D86" s="68" t="s">
        <v>179</v>
      </c>
      <c r="E86" s="68"/>
      <c r="F86" s="68"/>
    </row>
    <row r="87" customFormat="false" ht="15.75" hidden="false" customHeight="true" outlineLevel="0" collapsed="false">
      <c r="A87" s="59"/>
      <c r="B87" s="60" t="s">
        <v>5</v>
      </c>
      <c r="C87" s="49"/>
      <c r="D87" s="50" t="n">
        <v>9.5</v>
      </c>
      <c r="E87" s="50" t="n">
        <v>10</v>
      </c>
      <c r="F87" s="51" t="n">
        <f aca="false">(D87+E87)/2</f>
        <v>9.75</v>
      </c>
    </row>
    <row r="88" customFormat="false" ht="15.75" hidden="false" customHeight="true" outlineLevel="0" collapsed="false">
      <c r="A88" s="61"/>
      <c r="B88" s="62" t="s">
        <v>82</v>
      </c>
      <c r="C88" s="53"/>
      <c r="D88" s="12" t="n">
        <v>9.7</v>
      </c>
      <c r="E88" s="12" t="n">
        <v>9.7</v>
      </c>
      <c r="F88" s="54" t="n">
        <f aca="false">(D88+E88)/2</f>
        <v>9.7</v>
      </c>
    </row>
    <row r="89" customFormat="false" ht="15.75" hidden="false" customHeight="true" outlineLevel="0" collapsed="false">
      <c r="A89" s="59"/>
      <c r="B89" s="60" t="s">
        <v>128</v>
      </c>
      <c r="C89" s="49"/>
      <c r="D89" s="50" t="n">
        <v>9.7</v>
      </c>
      <c r="E89" s="50" t="n">
        <v>9.3</v>
      </c>
      <c r="F89" s="51" t="n">
        <f aca="false">(D89+E89)/2</f>
        <v>9.5</v>
      </c>
    </row>
    <row r="90" customFormat="false" ht="15.75" hidden="false" customHeight="true" outlineLevel="0" collapsed="false">
      <c r="A90" s="55" t="n">
        <v>23</v>
      </c>
      <c r="B90" s="56" t="s">
        <v>48</v>
      </c>
      <c r="C90" s="57" t="s">
        <v>180</v>
      </c>
      <c r="D90" s="55"/>
      <c r="E90" s="55"/>
      <c r="F90" s="58"/>
    </row>
    <row r="91" customFormat="false" ht="15.75" hidden="false" customHeight="true" outlineLevel="0" collapsed="false">
      <c r="A91" s="59"/>
      <c r="B91" s="48" t="s">
        <v>102</v>
      </c>
      <c r="C91" s="49"/>
      <c r="D91" s="63" t="n">
        <f aca="false">850/1000</f>
        <v>0.85</v>
      </c>
      <c r="E91" s="63" t="n">
        <f aca="false">650/1000</f>
        <v>0.65</v>
      </c>
      <c r="F91" s="51" t="n">
        <f aca="false">(D91+E91)/2</f>
        <v>0.75</v>
      </c>
    </row>
    <row r="92" customFormat="false" ht="15.75" hidden="false" customHeight="true" outlineLevel="0" collapsed="false">
      <c r="A92" s="61"/>
      <c r="B92" s="52" t="s">
        <v>35</v>
      </c>
      <c r="C92" s="53"/>
      <c r="D92" s="64" t="n">
        <f aca="false">850/1000</f>
        <v>0.85</v>
      </c>
      <c r="E92" s="64" t="n">
        <f aca="false">900/1000</f>
        <v>0.9</v>
      </c>
      <c r="F92" s="54" t="n">
        <f aca="false">(D92+E92)/2</f>
        <v>0.875</v>
      </c>
    </row>
    <row r="93" customFormat="false" ht="15.75" hidden="false" customHeight="true" outlineLevel="0" collapsed="false">
      <c r="A93" s="59"/>
      <c r="B93" s="48" t="s">
        <v>54</v>
      </c>
      <c r="C93" s="49"/>
      <c r="D93" s="63" t="n">
        <f aca="false">650/1000</f>
        <v>0.65</v>
      </c>
      <c r="E93" s="63" t="n">
        <f aca="false">550/1000</f>
        <v>0.55</v>
      </c>
      <c r="F93" s="51" t="n">
        <f aca="false">(D93+E93)/2</f>
        <v>0.6</v>
      </c>
    </row>
    <row r="94" customFormat="false" ht="15.75" hidden="false" customHeight="true" outlineLevel="0" collapsed="false">
      <c r="A94" s="55" t="n">
        <v>24</v>
      </c>
      <c r="B94" s="56" t="s">
        <v>50</v>
      </c>
      <c r="C94" s="57" t="s">
        <v>181</v>
      </c>
      <c r="D94" s="55"/>
      <c r="E94" s="55"/>
      <c r="F94" s="58"/>
    </row>
    <row r="95" customFormat="false" ht="15.75" hidden="false" customHeight="true" outlineLevel="0" collapsed="false">
      <c r="A95" s="59"/>
      <c r="B95" s="60" t="s">
        <v>118</v>
      </c>
      <c r="C95" s="49"/>
      <c r="D95" s="63" t="n">
        <f aca="false">450/1000</f>
        <v>0.45</v>
      </c>
      <c r="E95" s="63" t="n">
        <f aca="false">450/1000</f>
        <v>0.45</v>
      </c>
      <c r="F95" s="51" t="n">
        <f aca="false">(D95+E95)/2</f>
        <v>0.45</v>
      </c>
    </row>
    <row r="96" customFormat="false" ht="15.75" hidden="false" customHeight="true" outlineLevel="0" collapsed="false">
      <c r="A96" s="61"/>
      <c r="B96" s="62" t="s">
        <v>54</v>
      </c>
      <c r="C96" s="53"/>
      <c r="D96" s="12" t="n">
        <v>1</v>
      </c>
      <c r="E96" s="64" t="n">
        <f aca="false">900/1000</f>
        <v>0.9</v>
      </c>
      <c r="F96" s="54" t="n">
        <f aca="false">(D96+E96)/2</f>
        <v>0.95</v>
      </c>
    </row>
    <row r="97" customFormat="false" ht="15.75" hidden="false" customHeight="true" outlineLevel="0" collapsed="false">
      <c r="A97" s="59"/>
      <c r="B97" s="60" t="s">
        <v>80</v>
      </c>
      <c r="C97" s="49"/>
      <c r="D97" s="50" t="n">
        <v>1.2</v>
      </c>
      <c r="E97" s="50" t="n">
        <v>1.5</v>
      </c>
      <c r="F97" s="51" t="n">
        <f aca="false">(D97+E97)/2</f>
        <v>1.35</v>
      </c>
    </row>
    <row r="98" customFormat="false" ht="15.75" hidden="false" customHeight="true" outlineLevel="0" collapsed="false">
      <c r="A98" s="55" t="n">
        <v>25</v>
      </c>
      <c r="B98" s="56" t="s">
        <v>52</v>
      </c>
      <c r="C98" s="57" t="s">
        <v>182</v>
      </c>
      <c r="D98" s="55"/>
      <c r="E98" s="55"/>
      <c r="F98" s="58"/>
    </row>
    <row r="99" customFormat="false" ht="15.75" hidden="false" customHeight="true" outlineLevel="0" collapsed="false">
      <c r="A99" s="59"/>
      <c r="B99" s="48" t="s">
        <v>92</v>
      </c>
      <c r="C99" s="49"/>
      <c r="D99" s="63" t="n">
        <f aca="false">950/1000</f>
        <v>0.95</v>
      </c>
      <c r="E99" s="50" t="n">
        <v>1</v>
      </c>
      <c r="F99" s="51" t="n">
        <f aca="false">(D99+E99)/2</f>
        <v>0.975</v>
      </c>
    </row>
    <row r="100" customFormat="false" ht="15.75" hidden="false" customHeight="true" outlineLevel="0" collapsed="false">
      <c r="A100" s="61"/>
      <c r="B100" s="52" t="s">
        <v>86</v>
      </c>
      <c r="C100" s="53"/>
      <c r="D100" s="64" t="n">
        <f aca="false">650/1000</f>
        <v>0.65</v>
      </c>
      <c r="E100" s="12" t="n">
        <v>1.4</v>
      </c>
      <c r="F100" s="54" t="n">
        <f aca="false">(D100+E100)/2</f>
        <v>1.025</v>
      </c>
    </row>
    <row r="101" customFormat="false" ht="15.75" hidden="false" customHeight="true" outlineLevel="0" collapsed="false">
      <c r="A101" s="59"/>
      <c r="B101" s="48" t="s">
        <v>35</v>
      </c>
      <c r="C101" s="49"/>
      <c r="D101" s="50" t="n">
        <v>1.6</v>
      </c>
      <c r="E101" s="63" t="n">
        <f aca="false">500/1000</f>
        <v>0.5</v>
      </c>
      <c r="F101" s="51" t="n">
        <f aca="false">(D101+E101)/2</f>
        <v>1.05</v>
      </c>
    </row>
    <row r="102" customFormat="false" ht="15.75" hidden="false" customHeight="true" outlineLevel="0" collapsed="false">
      <c r="A102" s="55" t="n">
        <v>26</v>
      </c>
      <c r="B102" s="56" t="s">
        <v>54</v>
      </c>
      <c r="C102" s="57" t="s">
        <v>183</v>
      </c>
      <c r="D102" s="55"/>
      <c r="E102" s="55"/>
      <c r="F102" s="58"/>
    </row>
    <row r="103" customFormat="false" ht="15.75" hidden="false" customHeight="true" outlineLevel="0" collapsed="false">
      <c r="A103" s="59"/>
      <c r="B103" s="60" t="s">
        <v>48</v>
      </c>
      <c r="C103" s="49"/>
      <c r="D103" s="63" t="n">
        <f aca="false">550/1000</f>
        <v>0.55</v>
      </c>
      <c r="E103" s="63" t="n">
        <f aca="false">650/1000</f>
        <v>0.65</v>
      </c>
      <c r="F103" s="51" t="n">
        <f aca="false">(D103+E103)/2</f>
        <v>0.6</v>
      </c>
    </row>
    <row r="104" customFormat="false" ht="15.75" hidden="false" customHeight="true" outlineLevel="0" collapsed="false">
      <c r="A104" s="61"/>
      <c r="B104" s="62" t="s">
        <v>50</v>
      </c>
      <c r="C104" s="53"/>
      <c r="D104" s="64" t="n">
        <f aca="false">900/1000</f>
        <v>0.9</v>
      </c>
      <c r="E104" s="12" t="n">
        <v>1</v>
      </c>
      <c r="F104" s="54" t="n">
        <f aca="false">(D104+E104)/2</f>
        <v>0.95</v>
      </c>
    </row>
    <row r="105" customFormat="false" ht="15.75" hidden="false" customHeight="true" outlineLevel="0" collapsed="false">
      <c r="A105" s="59"/>
      <c r="B105" s="60" t="s">
        <v>102</v>
      </c>
      <c r="C105" s="49"/>
      <c r="D105" s="63" t="n">
        <f aca="false">900/1000</f>
        <v>0.9</v>
      </c>
      <c r="E105" s="63" t="n">
        <f aca="false">850/1000</f>
        <v>0.85</v>
      </c>
      <c r="F105" s="51" t="n">
        <f aca="false">(D105+E105)/2</f>
        <v>0.875</v>
      </c>
    </row>
    <row r="106" customFormat="false" ht="15.75" hidden="false" customHeight="true" outlineLevel="0" collapsed="false">
      <c r="A106" s="55" t="n">
        <v>27</v>
      </c>
      <c r="B106" s="56" t="s">
        <v>56</v>
      </c>
      <c r="C106" s="57" t="s">
        <v>184</v>
      </c>
      <c r="D106" s="55"/>
      <c r="E106" s="55"/>
      <c r="F106" s="58"/>
    </row>
    <row r="107" customFormat="false" ht="15.75" hidden="false" customHeight="true" outlineLevel="0" collapsed="false">
      <c r="A107" s="59"/>
      <c r="B107" s="48" t="s">
        <v>19</v>
      </c>
      <c r="C107" s="49"/>
      <c r="D107" s="50" t="n">
        <v>5.3</v>
      </c>
      <c r="E107" s="63" t="n">
        <f aca="false">700/1000</f>
        <v>0.7</v>
      </c>
      <c r="F107" s="51" t="n">
        <f aca="false">(D107+E107)/2</f>
        <v>3</v>
      </c>
    </row>
    <row r="108" customFormat="false" ht="15.75" hidden="false" customHeight="true" outlineLevel="0" collapsed="false">
      <c r="A108" s="61"/>
      <c r="B108" s="52" t="s">
        <v>78</v>
      </c>
      <c r="C108" s="53"/>
      <c r="D108" s="12" t="n">
        <v>1.3</v>
      </c>
      <c r="E108" s="12" t="n">
        <v>1.7</v>
      </c>
      <c r="F108" s="54" t="n">
        <f aca="false">(D108+E108)/2</f>
        <v>1.5</v>
      </c>
    </row>
    <row r="109" customFormat="false" ht="15.75" hidden="false" customHeight="true" outlineLevel="0" collapsed="false">
      <c r="A109" s="59"/>
      <c r="B109" s="48" t="s">
        <v>112</v>
      </c>
      <c r="C109" s="49"/>
      <c r="D109" s="50" t="n">
        <v>1.4</v>
      </c>
      <c r="E109" s="50" t="n">
        <v>2.5</v>
      </c>
      <c r="F109" s="51" t="n">
        <f aca="false">(D109+E109)/2</f>
        <v>1.95</v>
      </c>
    </row>
    <row r="110" customFormat="false" ht="15.75" hidden="false" customHeight="true" outlineLevel="0" collapsed="false">
      <c r="A110" s="55" t="n">
        <v>28</v>
      </c>
      <c r="B110" s="56" t="s">
        <v>58</v>
      </c>
      <c r="C110" s="57" t="s">
        <v>185</v>
      </c>
      <c r="D110" s="55"/>
      <c r="E110" s="55"/>
      <c r="F110" s="58"/>
    </row>
    <row r="111" customFormat="false" ht="15.75" hidden="false" customHeight="true" outlineLevel="0" collapsed="false">
      <c r="A111" s="59"/>
      <c r="B111" s="60" t="s">
        <v>90</v>
      </c>
      <c r="C111" s="49"/>
      <c r="D111" s="50" t="n">
        <v>1.5</v>
      </c>
      <c r="E111" s="63" t="n">
        <f aca="false">900/1000</f>
        <v>0.9</v>
      </c>
      <c r="F111" s="51" t="n">
        <f aca="false">(D111+E111)/2</f>
        <v>1.2</v>
      </c>
    </row>
    <row r="112" customFormat="false" ht="15.75" hidden="false" customHeight="true" outlineLevel="0" collapsed="false">
      <c r="A112" s="61"/>
      <c r="B112" s="62" t="s">
        <v>106</v>
      </c>
      <c r="C112" s="53"/>
      <c r="D112" s="64" t="n">
        <f aca="false">700/1000</f>
        <v>0.7</v>
      </c>
      <c r="E112" s="64" t="n">
        <f aca="false">650/1000</f>
        <v>0.65</v>
      </c>
      <c r="F112" s="54" t="n">
        <f aca="false">(D112+E112)/2</f>
        <v>0.675</v>
      </c>
    </row>
    <row r="113" customFormat="false" ht="15.75" hidden="false" customHeight="true" outlineLevel="0" collapsed="false">
      <c r="A113" s="59"/>
      <c r="B113" s="60" t="s">
        <v>9</v>
      </c>
      <c r="C113" s="49"/>
      <c r="D113" s="50" t="n">
        <v>1.9</v>
      </c>
      <c r="E113" s="63" t="n">
        <f aca="false">650/1000</f>
        <v>0.65</v>
      </c>
      <c r="F113" s="51" t="n">
        <f aca="false">(D113+E113)/2</f>
        <v>1.275</v>
      </c>
    </row>
    <row r="114" customFormat="false" ht="15.75" hidden="false" customHeight="true" outlineLevel="0" collapsed="false">
      <c r="A114" s="55" t="n">
        <v>29</v>
      </c>
      <c r="B114" s="56" t="s">
        <v>60</v>
      </c>
      <c r="C114" s="57" t="s">
        <v>186</v>
      </c>
      <c r="D114" s="55"/>
      <c r="E114" s="55"/>
      <c r="F114" s="58"/>
    </row>
    <row r="115" customFormat="false" ht="15.75" hidden="false" customHeight="true" outlineLevel="0" collapsed="false">
      <c r="A115" s="59"/>
      <c r="B115" s="48" t="s">
        <v>62</v>
      </c>
      <c r="C115" s="49"/>
      <c r="D115" s="50" t="n">
        <v>0</v>
      </c>
      <c r="E115" s="50" t="n">
        <v>0</v>
      </c>
      <c r="F115" s="51" t="n">
        <f aca="false">(D115+E115)/2</f>
        <v>0</v>
      </c>
    </row>
    <row r="116" customFormat="false" ht="15.75" hidden="false" customHeight="true" outlineLevel="0" collapsed="false">
      <c r="A116" s="61"/>
      <c r="B116" s="52" t="s">
        <v>42</v>
      </c>
      <c r="C116" s="53"/>
      <c r="D116" s="12" t="n">
        <v>1.1</v>
      </c>
      <c r="E116" s="12" t="n">
        <v>1.5</v>
      </c>
      <c r="F116" s="54" t="n">
        <f aca="false">(D116+E116)/2</f>
        <v>1.3</v>
      </c>
    </row>
    <row r="117" customFormat="false" ht="15.75" hidden="false" customHeight="true" outlineLevel="0" collapsed="false">
      <c r="A117" s="59"/>
      <c r="B117" s="48" t="s">
        <v>64</v>
      </c>
      <c r="C117" s="49"/>
      <c r="D117" s="50" t="n">
        <v>2.9</v>
      </c>
      <c r="E117" s="50" t="n">
        <v>1.9</v>
      </c>
      <c r="F117" s="51" t="n">
        <f aca="false">(D117+E117)/2</f>
        <v>2.4</v>
      </c>
    </row>
    <row r="118" customFormat="false" ht="15.75" hidden="false" customHeight="true" outlineLevel="0" collapsed="false">
      <c r="A118" s="55" t="n">
        <v>30</v>
      </c>
      <c r="B118" s="56" t="s">
        <v>62</v>
      </c>
      <c r="C118" s="57" t="s">
        <v>186</v>
      </c>
      <c r="D118" s="55"/>
      <c r="E118" s="55"/>
      <c r="F118" s="58"/>
    </row>
    <row r="119" customFormat="false" ht="15.75" hidden="false" customHeight="true" outlineLevel="0" collapsed="false">
      <c r="A119" s="59"/>
      <c r="B119" s="60" t="s">
        <v>60</v>
      </c>
      <c r="C119" s="49"/>
      <c r="D119" s="50" t="n">
        <v>0</v>
      </c>
      <c r="E119" s="50" t="n">
        <v>0</v>
      </c>
      <c r="F119" s="51" t="n">
        <f aca="false">(D119+E119)/2</f>
        <v>0</v>
      </c>
    </row>
    <row r="120" customFormat="false" ht="15.75" hidden="false" customHeight="true" outlineLevel="0" collapsed="false">
      <c r="A120" s="61"/>
      <c r="B120" s="62" t="s">
        <v>42</v>
      </c>
      <c r="C120" s="53"/>
      <c r="D120" s="12" t="n">
        <v>1.1</v>
      </c>
      <c r="E120" s="12" t="n">
        <v>1.5</v>
      </c>
      <c r="F120" s="54" t="n">
        <f aca="false">(D120+E120)/2</f>
        <v>1.3</v>
      </c>
    </row>
    <row r="121" customFormat="false" ht="15.75" hidden="false" customHeight="true" outlineLevel="0" collapsed="false">
      <c r="A121" s="59"/>
      <c r="B121" s="60" t="s">
        <v>64</v>
      </c>
      <c r="C121" s="49"/>
      <c r="D121" s="50" t="n">
        <v>2.9</v>
      </c>
      <c r="E121" s="50" t="n">
        <v>1.9</v>
      </c>
      <c r="F121" s="51" t="n">
        <f aca="false">(D121+E121)/2</f>
        <v>2.4</v>
      </c>
    </row>
    <row r="122" customFormat="false" ht="15.75" hidden="false" customHeight="true" outlineLevel="0" collapsed="false">
      <c r="A122" s="55" t="n">
        <v>31</v>
      </c>
      <c r="B122" s="56" t="s">
        <v>64</v>
      </c>
      <c r="C122" s="57" t="s">
        <v>187</v>
      </c>
      <c r="D122" s="55"/>
      <c r="E122" s="55"/>
      <c r="F122" s="58"/>
    </row>
    <row r="123" customFormat="false" ht="15.75" hidden="false" customHeight="true" outlineLevel="0" collapsed="false">
      <c r="A123" s="59"/>
      <c r="B123" s="48" t="s">
        <v>80</v>
      </c>
      <c r="C123" s="49"/>
      <c r="D123" s="50" t="n">
        <v>1</v>
      </c>
      <c r="E123" s="63" t="n">
        <f aca="false">500/1000</f>
        <v>0.5</v>
      </c>
      <c r="F123" s="51" t="n">
        <f aca="false">(D123+E123)/2</f>
        <v>0.75</v>
      </c>
    </row>
    <row r="124" customFormat="false" ht="15.75" hidden="false" customHeight="true" outlineLevel="0" collapsed="false">
      <c r="A124" s="61"/>
      <c r="B124" s="52" t="s">
        <v>36</v>
      </c>
      <c r="C124" s="53"/>
      <c r="D124" s="12" t="n">
        <v>1</v>
      </c>
      <c r="E124" s="12" t="n">
        <v>1.1</v>
      </c>
      <c r="F124" s="54" t="n">
        <f aca="false">(D124+E124)/2</f>
        <v>1.05</v>
      </c>
    </row>
    <row r="125" customFormat="false" ht="15.75" hidden="false" customHeight="true" outlineLevel="0" collapsed="false">
      <c r="A125" s="59"/>
      <c r="B125" s="48" t="s">
        <v>50</v>
      </c>
      <c r="C125" s="49"/>
      <c r="D125" s="50" t="n">
        <v>1.4</v>
      </c>
      <c r="E125" s="50" t="n">
        <v>1.1</v>
      </c>
      <c r="F125" s="51" t="n">
        <f aca="false">(D125+E125)/2</f>
        <v>1.25</v>
      </c>
    </row>
    <row r="126" customFormat="false" ht="15.75" hidden="false" customHeight="true" outlineLevel="0" collapsed="false">
      <c r="A126" s="55" t="n">
        <v>32</v>
      </c>
      <c r="B126" s="56" t="s">
        <v>66</v>
      </c>
      <c r="C126" s="57" t="s">
        <v>188</v>
      </c>
      <c r="D126" s="55"/>
      <c r="E126" s="55"/>
      <c r="F126" s="58"/>
    </row>
    <row r="127" customFormat="false" ht="15.75" hidden="false" customHeight="true" outlineLevel="0" collapsed="false">
      <c r="A127" s="59"/>
      <c r="B127" s="60" t="s">
        <v>74</v>
      </c>
      <c r="C127" s="49"/>
      <c r="D127" s="63" t="n">
        <f aca="false">350/1000</f>
        <v>0.35</v>
      </c>
      <c r="E127" s="50" t="n">
        <v>1.4</v>
      </c>
      <c r="F127" s="51" t="n">
        <f aca="false">(D127+E127)/2</f>
        <v>0.875</v>
      </c>
    </row>
    <row r="128" customFormat="false" ht="15.75" hidden="false" customHeight="true" outlineLevel="0" collapsed="false">
      <c r="A128" s="61"/>
      <c r="B128" s="62" t="s">
        <v>36</v>
      </c>
      <c r="C128" s="53"/>
      <c r="D128" s="12" t="n">
        <v>1.9</v>
      </c>
      <c r="E128" s="12" t="n">
        <v>2.2</v>
      </c>
      <c r="F128" s="54" t="n">
        <f aca="false">(D128+E128)/2</f>
        <v>2.05</v>
      </c>
    </row>
    <row r="129" customFormat="false" ht="15.75" hidden="false" customHeight="true" outlineLevel="0" collapsed="false">
      <c r="A129" s="59"/>
      <c r="B129" s="60" t="s">
        <v>60</v>
      </c>
      <c r="C129" s="49"/>
      <c r="D129" s="50" t="n">
        <v>1.4</v>
      </c>
      <c r="E129" s="50" t="n">
        <v>1.5</v>
      </c>
      <c r="F129" s="51" t="n">
        <f aca="false">(D129+E129)/2</f>
        <v>1.45</v>
      </c>
    </row>
    <row r="130" customFormat="false" ht="15.75" hidden="false" customHeight="true" outlineLevel="0" collapsed="false">
      <c r="A130" s="55" t="n">
        <v>33</v>
      </c>
      <c r="B130" s="56" t="s">
        <v>68</v>
      </c>
      <c r="C130" s="57" t="s">
        <v>189</v>
      </c>
      <c r="D130" s="55"/>
      <c r="E130" s="55"/>
      <c r="F130" s="58"/>
    </row>
    <row r="131" customFormat="false" ht="15.75" hidden="false" customHeight="true" outlineLevel="0" collapsed="false">
      <c r="A131" s="59"/>
      <c r="B131" s="48" t="s">
        <v>70</v>
      </c>
      <c r="C131" s="49"/>
      <c r="D131" s="50" t="n">
        <v>2.6</v>
      </c>
      <c r="E131" s="50" t="n">
        <v>1.7</v>
      </c>
      <c r="F131" s="51" t="n">
        <f aca="false">(D131+E131)/2</f>
        <v>2.15</v>
      </c>
    </row>
    <row r="132" customFormat="false" ht="15.75" hidden="false" customHeight="true" outlineLevel="0" collapsed="false">
      <c r="A132" s="61"/>
      <c r="B132" s="52" t="s">
        <v>74</v>
      </c>
      <c r="C132" s="53"/>
      <c r="D132" s="12" t="n">
        <v>1.3</v>
      </c>
      <c r="E132" s="12" t="n">
        <v>1.9</v>
      </c>
      <c r="F132" s="54" t="n">
        <f aca="false">(D132+E132)/2</f>
        <v>1.6</v>
      </c>
    </row>
    <row r="133" customFormat="false" ht="15.75" hidden="false" customHeight="true" outlineLevel="0" collapsed="false">
      <c r="A133" s="59"/>
      <c r="B133" s="48" t="s">
        <v>110</v>
      </c>
      <c r="C133" s="49"/>
      <c r="D133" s="50" t="n">
        <v>2.2</v>
      </c>
      <c r="E133" s="50" t="n">
        <v>1.5</v>
      </c>
      <c r="F133" s="51" t="n">
        <f aca="false">(D133+E133)/2</f>
        <v>1.85</v>
      </c>
    </row>
    <row r="134" customFormat="false" ht="15.75" hidden="false" customHeight="true" outlineLevel="0" collapsed="false">
      <c r="A134" s="55" t="n">
        <v>34</v>
      </c>
      <c r="B134" s="56" t="s">
        <v>70</v>
      </c>
      <c r="C134" s="57" t="s">
        <v>190</v>
      </c>
      <c r="D134" s="55"/>
      <c r="E134" s="55"/>
      <c r="F134" s="58"/>
    </row>
    <row r="135" customFormat="false" ht="15.75" hidden="false" customHeight="true" outlineLevel="0" collapsed="false">
      <c r="A135" s="59"/>
      <c r="B135" s="60" t="s">
        <v>68</v>
      </c>
      <c r="C135" s="49"/>
      <c r="D135" s="50" t="n">
        <v>1.7</v>
      </c>
      <c r="E135" s="50" t="n">
        <v>2.6</v>
      </c>
      <c r="F135" s="51" t="n">
        <f aca="false">(D135+E135)/2</f>
        <v>2.15</v>
      </c>
    </row>
    <row r="136" customFormat="false" ht="15.75" hidden="false" customHeight="true" outlineLevel="0" collapsed="false">
      <c r="A136" s="61"/>
      <c r="B136" s="62" t="s">
        <v>13</v>
      </c>
      <c r="C136" s="53"/>
      <c r="D136" s="12" t="n">
        <v>1</v>
      </c>
      <c r="E136" s="12" t="n">
        <v>1</v>
      </c>
      <c r="F136" s="54" t="n">
        <f aca="false">(D136+E136)/2</f>
        <v>1</v>
      </c>
    </row>
    <row r="137" customFormat="false" ht="15.75" hidden="false" customHeight="true" outlineLevel="0" collapsed="false">
      <c r="A137" s="59"/>
      <c r="B137" s="60" t="s">
        <v>112</v>
      </c>
      <c r="C137" s="49"/>
      <c r="D137" s="50" t="n">
        <v>1.7</v>
      </c>
      <c r="E137" s="50" t="n">
        <v>2.1</v>
      </c>
      <c r="F137" s="51" t="n">
        <f aca="false">(D137+E137)/2</f>
        <v>1.9</v>
      </c>
    </row>
    <row r="138" customFormat="false" ht="15.75" hidden="false" customHeight="true" outlineLevel="0" collapsed="false">
      <c r="A138" s="55" t="n">
        <v>35</v>
      </c>
      <c r="B138" s="56" t="s">
        <v>72</v>
      </c>
      <c r="C138" s="57" t="s">
        <v>191</v>
      </c>
      <c r="D138" s="55"/>
      <c r="E138" s="55"/>
      <c r="F138" s="58"/>
    </row>
    <row r="139" customFormat="false" ht="15.75" hidden="false" customHeight="true" outlineLevel="0" collapsed="false">
      <c r="A139" s="59"/>
      <c r="B139" s="48" t="s">
        <v>108</v>
      </c>
      <c r="C139" s="49"/>
      <c r="D139" s="50" t="n">
        <v>4.2</v>
      </c>
      <c r="E139" s="63" t="n">
        <f aca="false">900/1000</f>
        <v>0.9</v>
      </c>
      <c r="F139" s="51" t="n">
        <f aca="false">(D139+E139)/2</f>
        <v>2.55</v>
      </c>
    </row>
    <row r="140" customFormat="false" ht="15.75" hidden="false" customHeight="true" outlineLevel="0" collapsed="false">
      <c r="A140" s="61"/>
      <c r="B140" s="52" t="s">
        <v>31</v>
      </c>
      <c r="C140" s="53"/>
      <c r="D140" s="12" t="n">
        <v>2</v>
      </c>
      <c r="E140" s="12" t="n">
        <v>1.8</v>
      </c>
      <c r="F140" s="54" t="n">
        <f aca="false">(D140+E140)/2</f>
        <v>1.9</v>
      </c>
    </row>
    <row r="141" customFormat="false" ht="15.75" hidden="false" customHeight="true" outlineLevel="0" collapsed="false">
      <c r="A141" s="59"/>
      <c r="B141" s="48" t="s">
        <v>126</v>
      </c>
      <c r="C141" s="49"/>
      <c r="D141" s="50" t="n">
        <v>3.9</v>
      </c>
      <c r="E141" s="50" t="n">
        <v>2.2</v>
      </c>
      <c r="F141" s="51" t="n">
        <f aca="false">(D141+E141)/2</f>
        <v>3.05</v>
      </c>
    </row>
    <row r="142" customFormat="false" ht="15.75" hidden="false" customHeight="true" outlineLevel="0" collapsed="false">
      <c r="A142" s="55" t="n">
        <v>36</v>
      </c>
      <c r="B142" s="56" t="s">
        <v>74</v>
      </c>
      <c r="C142" s="57" t="s">
        <v>192</v>
      </c>
      <c r="D142" s="55"/>
      <c r="E142" s="55"/>
      <c r="F142" s="58"/>
    </row>
    <row r="143" customFormat="false" ht="15.75" hidden="false" customHeight="true" outlineLevel="0" collapsed="false">
      <c r="A143" s="59"/>
      <c r="B143" s="60" t="s">
        <v>66</v>
      </c>
      <c r="C143" s="49"/>
      <c r="D143" s="50" t="n">
        <v>1.4</v>
      </c>
      <c r="E143" s="63" t="n">
        <f aca="false">350/1000</f>
        <v>0.35</v>
      </c>
      <c r="F143" s="51" t="n">
        <f aca="false">(D143+E143)/2</f>
        <v>0.875</v>
      </c>
    </row>
    <row r="144" customFormat="false" ht="15.75" hidden="false" customHeight="true" outlineLevel="0" collapsed="false">
      <c r="A144" s="61"/>
      <c r="B144" s="62" t="s">
        <v>68</v>
      </c>
      <c r="C144" s="53"/>
      <c r="D144" s="12" t="n">
        <v>1.9</v>
      </c>
      <c r="E144" s="12" t="n">
        <v>1.3</v>
      </c>
      <c r="F144" s="54" t="n">
        <f aca="false">(D144+E144)/2</f>
        <v>1.6</v>
      </c>
    </row>
    <row r="145" customFormat="false" ht="15.75" hidden="false" customHeight="true" outlineLevel="0" collapsed="false">
      <c r="A145" s="59"/>
      <c r="B145" s="60" t="s">
        <v>36</v>
      </c>
      <c r="C145" s="49"/>
      <c r="D145" s="50" t="n">
        <v>1.6</v>
      </c>
      <c r="E145" s="50" t="n">
        <v>2.1</v>
      </c>
      <c r="F145" s="51" t="n">
        <f aca="false">(D145+E145)/2</f>
        <v>1.85</v>
      </c>
    </row>
    <row r="146" customFormat="false" ht="15.75" hidden="false" customHeight="true" outlineLevel="0" collapsed="false">
      <c r="A146" s="55" t="n">
        <v>37</v>
      </c>
      <c r="B146" s="56" t="s">
        <v>76</v>
      </c>
      <c r="C146" s="57" t="s">
        <v>193</v>
      </c>
      <c r="D146" s="55"/>
      <c r="E146" s="55"/>
      <c r="F146" s="58"/>
    </row>
    <row r="147" customFormat="false" ht="15.75" hidden="false" customHeight="true" outlineLevel="0" collapsed="false">
      <c r="A147" s="59"/>
      <c r="B147" s="48" t="s">
        <v>23</v>
      </c>
      <c r="C147" s="49"/>
      <c r="D147" s="63" t="n">
        <f aca="false">850/1000</f>
        <v>0.85</v>
      </c>
      <c r="E147" s="63" t="n">
        <f aca="false">900/1000</f>
        <v>0.9</v>
      </c>
      <c r="F147" s="51" t="n">
        <f aca="false">(D147+E147)/2</f>
        <v>0.875</v>
      </c>
    </row>
    <row r="148" customFormat="false" ht="15.75" hidden="false" customHeight="true" outlineLevel="0" collapsed="false">
      <c r="A148" s="61"/>
      <c r="B148" s="52" t="s">
        <v>94</v>
      </c>
      <c r="C148" s="53"/>
      <c r="D148" s="12" t="n">
        <v>1.7</v>
      </c>
      <c r="E148" s="12" t="n">
        <v>1.5</v>
      </c>
      <c r="F148" s="54" t="n">
        <f aca="false">(D148+E148)/2</f>
        <v>1.6</v>
      </c>
    </row>
    <row r="149" customFormat="false" ht="15.75" hidden="false" customHeight="true" outlineLevel="0" collapsed="false">
      <c r="A149" s="59"/>
      <c r="B149" s="48" t="s">
        <v>21</v>
      </c>
      <c r="C149" s="49"/>
      <c r="D149" s="50" t="n">
        <v>1.5</v>
      </c>
      <c r="E149" s="50" t="n">
        <v>1.5</v>
      </c>
      <c r="F149" s="51" t="n">
        <f aca="false">(D149+E149)/2</f>
        <v>1.5</v>
      </c>
    </row>
    <row r="150" customFormat="false" ht="15.75" hidden="false" customHeight="true" outlineLevel="0" collapsed="false">
      <c r="A150" s="55" t="n">
        <v>38</v>
      </c>
      <c r="B150" s="56" t="s">
        <v>78</v>
      </c>
      <c r="C150" s="57" t="s">
        <v>194</v>
      </c>
      <c r="D150" s="55"/>
      <c r="E150" s="55"/>
      <c r="F150" s="58"/>
    </row>
    <row r="151" customFormat="false" ht="15.75" hidden="false" customHeight="true" outlineLevel="0" collapsed="false">
      <c r="A151" s="59"/>
      <c r="B151" s="60" t="s">
        <v>112</v>
      </c>
      <c r="C151" s="49"/>
      <c r="D151" s="63" t="n">
        <f aca="false">700/1000</f>
        <v>0.7</v>
      </c>
      <c r="E151" s="50" t="n">
        <v>3.4</v>
      </c>
      <c r="F151" s="51" t="n">
        <f aca="false">(D151+E151)/2</f>
        <v>2.05</v>
      </c>
    </row>
    <row r="152" customFormat="false" ht="15.75" hidden="false" customHeight="true" outlineLevel="0" collapsed="false">
      <c r="A152" s="61"/>
      <c r="B152" s="62" t="s">
        <v>56</v>
      </c>
      <c r="C152" s="53"/>
      <c r="D152" s="12" t="n">
        <v>1.7</v>
      </c>
      <c r="E152" s="12" t="n">
        <v>1.3</v>
      </c>
      <c r="F152" s="54" t="n">
        <f aca="false">(D152+E152)/2</f>
        <v>1.5</v>
      </c>
    </row>
    <row r="153" customFormat="false" ht="15.75" hidden="false" customHeight="true" outlineLevel="0" collapsed="false">
      <c r="A153" s="59"/>
      <c r="B153" s="60" t="s">
        <v>13</v>
      </c>
      <c r="C153" s="49"/>
      <c r="D153" s="50" t="n">
        <v>1.3</v>
      </c>
      <c r="E153" s="50" t="n">
        <v>3.3</v>
      </c>
      <c r="F153" s="51" t="n">
        <f aca="false">(D153+E153)/2</f>
        <v>2.3</v>
      </c>
    </row>
    <row r="154" customFormat="false" ht="15.75" hidden="false" customHeight="true" outlineLevel="0" collapsed="false">
      <c r="A154" s="55" t="n">
        <v>39</v>
      </c>
      <c r="B154" s="56" t="s">
        <v>80</v>
      </c>
      <c r="C154" s="57" t="s">
        <v>195</v>
      </c>
      <c r="D154" s="55"/>
      <c r="E154" s="55"/>
      <c r="F154" s="58"/>
    </row>
    <row r="155" customFormat="false" ht="15.75" hidden="false" customHeight="true" outlineLevel="0" collapsed="false">
      <c r="A155" s="59"/>
      <c r="B155" s="48" t="s">
        <v>64</v>
      </c>
      <c r="C155" s="49"/>
      <c r="D155" s="63" t="n">
        <f aca="false">500/1000</f>
        <v>0.5</v>
      </c>
      <c r="E155" s="50" t="n">
        <v>1.2</v>
      </c>
      <c r="F155" s="51" t="n">
        <f aca="false">(D155+E155)/2</f>
        <v>0.85</v>
      </c>
    </row>
    <row r="156" customFormat="false" ht="15.75" hidden="false" customHeight="true" outlineLevel="0" collapsed="false">
      <c r="A156" s="61"/>
      <c r="B156" s="52" t="s">
        <v>36</v>
      </c>
      <c r="C156" s="53"/>
      <c r="D156" s="12" t="n">
        <v>1.1</v>
      </c>
      <c r="E156" s="12" t="n">
        <v>1.8</v>
      </c>
      <c r="F156" s="54" t="n">
        <f aca="false">(D156+E156)/2</f>
        <v>1.45</v>
      </c>
    </row>
    <row r="157" customFormat="false" ht="15.75" hidden="false" customHeight="true" outlineLevel="0" collapsed="false">
      <c r="A157" s="59"/>
      <c r="B157" s="48" t="s">
        <v>50</v>
      </c>
      <c r="C157" s="49"/>
      <c r="D157" s="50" t="n">
        <v>1.5</v>
      </c>
      <c r="E157" s="50" t="n">
        <v>1.2</v>
      </c>
      <c r="F157" s="51" t="n">
        <f aca="false">(D157+E157)/2</f>
        <v>1.35</v>
      </c>
    </row>
    <row r="158" customFormat="false" ht="15.75" hidden="false" customHeight="true" outlineLevel="0" collapsed="false">
      <c r="A158" s="55" t="n">
        <v>40</v>
      </c>
      <c r="B158" s="56" t="s">
        <v>82</v>
      </c>
      <c r="C158" s="57" t="s">
        <v>196</v>
      </c>
      <c r="D158" s="55"/>
      <c r="E158" s="55"/>
      <c r="F158" s="58"/>
    </row>
    <row r="159" customFormat="false" ht="15.75" hidden="false" customHeight="true" outlineLevel="0" collapsed="false">
      <c r="A159" s="59"/>
      <c r="B159" s="60" t="s">
        <v>5</v>
      </c>
      <c r="C159" s="49"/>
      <c r="D159" s="50" t="n">
        <v>1.8</v>
      </c>
      <c r="E159" s="63" t="n">
        <f aca="false">260/1000</f>
        <v>0.26</v>
      </c>
      <c r="F159" s="51" t="n">
        <f aca="false">(D159+E159)/2</f>
        <v>1.03</v>
      </c>
    </row>
    <row r="160" customFormat="false" ht="15.75" hidden="false" customHeight="true" outlineLevel="0" collapsed="false">
      <c r="A160" s="61"/>
      <c r="B160" s="62" t="s">
        <v>98</v>
      </c>
      <c r="C160" s="53"/>
      <c r="D160" s="12" t="n">
        <v>2.8</v>
      </c>
      <c r="E160" s="64" t="n">
        <f aca="false">900/1000</f>
        <v>0.9</v>
      </c>
      <c r="F160" s="54" t="n">
        <f aca="false">(D160+E160)/2</f>
        <v>1.85</v>
      </c>
    </row>
    <row r="161" customFormat="false" ht="15.75" hidden="false" customHeight="true" outlineLevel="0" collapsed="false">
      <c r="A161" s="59"/>
      <c r="B161" s="60" t="s">
        <v>128</v>
      </c>
      <c r="C161" s="49"/>
      <c r="D161" s="50" t="n">
        <v>2</v>
      </c>
      <c r="E161" s="50" t="n">
        <v>1.6</v>
      </c>
      <c r="F161" s="51" t="n">
        <f aca="false">(D161+E161)/2</f>
        <v>1.8</v>
      </c>
    </row>
    <row r="162" customFormat="false" ht="15.75" hidden="false" customHeight="true" outlineLevel="0" collapsed="false">
      <c r="A162" s="55" t="n">
        <v>41</v>
      </c>
      <c r="B162" s="56" t="s">
        <v>84</v>
      </c>
      <c r="C162" s="57" t="s">
        <v>197</v>
      </c>
      <c r="D162" s="55"/>
      <c r="E162" s="55"/>
      <c r="F162" s="58"/>
    </row>
    <row r="163" customFormat="false" ht="15.75" hidden="false" customHeight="true" outlineLevel="0" collapsed="false">
      <c r="A163" s="59"/>
      <c r="B163" s="48" t="s">
        <v>15</v>
      </c>
      <c r="C163" s="49"/>
      <c r="D163" s="50" t="n">
        <v>2.6</v>
      </c>
      <c r="E163" s="50" t="n">
        <v>1.8</v>
      </c>
      <c r="F163" s="51" t="n">
        <f aca="false">(D163+E163)/2</f>
        <v>2.2</v>
      </c>
    </row>
    <row r="164" customFormat="false" ht="15.75" hidden="false" customHeight="true" outlineLevel="0" collapsed="false">
      <c r="A164" s="61"/>
      <c r="B164" s="52" t="s">
        <v>78</v>
      </c>
      <c r="C164" s="53"/>
      <c r="D164" s="12" t="n">
        <v>2.1</v>
      </c>
      <c r="E164" s="12" t="n">
        <v>3.4</v>
      </c>
      <c r="F164" s="54" t="n">
        <f aca="false">(D164+E164)/2</f>
        <v>2.75</v>
      </c>
    </row>
    <row r="165" customFormat="false" ht="15.75" hidden="false" customHeight="true" outlineLevel="0" collapsed="false">
      <c r="A165" s="59"/>
      <c r="B165" s="48" t="s">
        <v>112</v>
      </c>
      <c r="C165" s="49"/>
      <c r="D165" s="50" t="n">
        <v>2.7</v>
      </c>
      <c r="E165" s="50" t="n">
        <v>4.1</v>
      </c>
      <c r="F165" s="51" t="n">
        <f aca="false">(D165+E165)/2</f>
        <v>3.4</v>
      </c>
    </row>
    <row r="166" customFormat="false" ht="15.75" hidden="false" customHeight="true" outlineLevel="0" collapsed="false">
      <c r="A166" s="55" t="n">
        <v>42</v>
      </c>
      <c r="B166" s="56" t="s">
        <v>86</v>
      </c>
      <c r="C166" s="57" t="s">
        <v>198</v>
      </c>
      <c r="D166" s="55"/>
      <c r="E166" s="55"/>
      <c r="F166" s="58"/>
    </row>
    <row r="167" customFormat="false" ht="15.75" hidden="false" customHeight="true" outlineLevel="0" collapsed="false">
      <c r="A167" s="59"/>
      <c r="B167" s="60" t="s">
        <v>92</v>
      </c>
      <c r="C167" s="49"/>
      <c r="D167" s="63" t="n">
        <f aca="false">400/1000</f>
        <v>0.4</v>
      </c>
      <c r="E167" s="63" t="n">
        <f aca="false">600/1000</f>
        <v>0.6</v>
      </c>
      <c r="F167" s="51" t="n">
        <f aca="false">(D167+E167)/2</f>
        <v>0.5</v>
      </c>
    </row>
    <row r="168" customFormat="false" ht="15.75" hidden="false" customHeight="true" outlineLevel="0" collapsed="false">
      <c r="A168" s="61"/>
      <c r="B168" s="62" t="s">
        <v>52</v>
      </c>
      <c r="C168" s="53"/>
      <c r="D168" s="12" t="n">
        <v>1.4</v>
      </c>
      <c r="E168" s="64" t="n">
        <f aca="false">650/1000</f>
        <v>0.65</v>
      </c>
      <c r="F168" s="54" t="n">
        <f aca="false">(D168+E168)/2</f>
        <v>1.025</v>
      </c>
    </row>
    <row r="169" customFormat="false" ht="15.75" hidden="false" customHeight="true" outlineLevel="0" collapsed="false">
      <c r="A169" s="59"/>
      <c r="B169" s="60" t="s">
        <v>44</v>
      </c>
      <c r="C169" s="49"/>
      <c r="D169" s="50" t="n">
        <v>1</v>
      </c>
      <c r="E169" s="50" t="n">
        <v>1.3</v>
      </c>
      <c r="F169" s="51" t="n">
        <f aca="false">(D169+E169)/2</f>
        <v>1.15</v>
      </c>
    </row>
    <row r="170" customFormat="false" ht="15.75" hidden="false" customHeight="true" outlineLevel="0" collapsed="false">
      <c r="A170" s="55" t="n">
        <v>43</v>
      </c>
      <c r="B170" s="56" t="s">
        <v>88</v>
      </c>
      <c r="C170" s="57" t="s">
        <v>199</v>
      </c>
      <c r="D170" s="55"/>
      <c r="E170" s="55"/>
      <c r="F170" s="58"/>
    </row>
    <row r="171" customFormat="false" ht="15.75" hidden="false" customHeight="true" outlineLevel="0" collapsed="false">
      <c r="A171" s="59"/>
      <c r="B171" s="48" t="s">
        <v>29</v>
      </c>
      <c r="C171" s="49"/>
      <c r="D171" s="50" t="n">
        <v>1.9</v>
      </c>
      <c r="E171" s="63" t="n">
        <f aca="false">900/1000</f>
        <v>0.9</v>
      </c>
      <c r="F171" s="51" t="n">
        <f aca="false">(D171+E171)/2</f>
        <v>1.4</v>
      </c>
    </row>
    <row r="172" customFormat="false" ht="15.75" hidden="false" customHeight="true" outlineLevel="0" collapsed="false">
      <c r="A172" s="61"/>
      <c r="B172" s="52" t="s">
        <v>9</v>
      </c>
      <c r="C172" s="53"/>
      <c r="D172" s="12" t="n">
        <v>1.7</v>
      </c>
      <c r="E172" s="12" t="n">
        <v>1.1</v>
      </c>
      <c r="F172" s="54" t="n">
        <f aca="false">(D172+E172)/2</f>
        <v>1.4</v>
      </c>
    </row>
    <row r="173" customFormat="false" ht="15.75" hidden="false" customHeight="true" outlineLevel="0" collapsed="false">
      <c r="A173" s="59"/>
      <c r="B173" s="48" t="s">
        <v>21</v>
      </c>
      <c r="C173" s="49"/>
      <c r="D173" s="50" t="n">
        <v>1.9</v>
      </c>
      <c r="E173" s="50" t="n">
        <v>1.3</v>
      </c>
      <c r="F173" s="51" t="n">
        <f aca="false">(D173+E173)/2</f>
        <v>1.6</v>
      </c>
    </row>
    <row r="174" customFormat="false" ht="15.75" hidden="false" customHeight="true" outlineLevel="0" collapsed="false">
      <c r="A174" s="55" t="n">
        <v>44</v>
      </c>
      <c r="B174" s="56" t="s">
        <v>90</v>
      </c>
      <c r="C174" s="57" t="s">
        <v>200</v>
      </c>
      <c r="D174" s="55"/>
      <c r="E174" s="55"/>
      <c r="F174" s="58"/>
    </row>
    <row r="175" customFormat="false" ht="15.75" hidden="false" customHeight="true" outlineLevel="0" collapsed="false">
      <c r="A175" s="59"/>
      <c r="B175" s="60" t="s">
        <v>58</v>
      </c>
      <c r="C175" s="49"/>
      <c r="D175" s="63" t="n">
        <f aca="false">900/1000</f>
        <v>0.9</v>
      </c>
      <c r="E175" s="50" t="n">
        <v>1.5</v>
      </c>
      <c r="F175" s="51" t="n">
        <f aca="false">(D175+E175)/2</f>
        <v>1.2</v>
      </c>
    </row>
    <row r="176" customFormat="false" ht="15.75" hidden="false" customHeight="true" outlineLevel="0" collapsed="false">
      <c r="A176" s="61"/>
      <c r="B176" s="62" t="s">
        <v>106</v>
      </c>
      <c r="C176" s="53"/>
      <c r="D176" s="64" t="n">
        <f aca="false">900/1000</f>
        <v>0.9</v>
      </c>
      <c r="E176" s="12" t="n">
        <v>1.5</v>
      </c>
      <c r="F176" s="54" t="n">
        <f aca="false">(D176+E176)/2</f>
        <v>1.2</v>
      </c>
    </row>
    <row r="177" customFormat="false" ht="15.75" hidden="false" customHeight="true" outlineLevel="0" collapsed="false">
      <c r="A177" s="59"/>
      <c r="B177" s="60" t="s">
        <v>9</v>
      </c>
      <c r="C177" s="49"/>
      <c r="D177" s="50" t="n">
        <v>1.9</v>
      </c>
      <c r="E177" s="50" t="n">
        <v>1.5</v>
      </c>
      <c r="F177" s="69" t="n">
        <v>0</v>
      </c>
    </row>
    <row r="178" customFormat="false" ht="15.75" hidden="false" customHeight="true" outlineLevel="0" collapsed="false">
      <c r="A178" s="55" t="n">
        <v>45</v>
      </c>
      <c r="B178" s="56" t="s">
        <v>92</v>
      </c>
      <c r="C178" s="57" t="s">
        <v>201</v>
      </c>
      <c r="D178" s="55"/>
      <c r="E178" s="55"/>
      <c r="F178" s="58"/>
    </row>
    <row r="179" customFormat="false" ht="15.75" hidden="false" customHeight="true" outlineLevel="0" collapsed="false">
      <c r="A179" s="59"/>
      <c r="B179" s="48" t="s">
        <v>86</v>
      </c>
      <c r="C179" s="49"/>
      <c r="D179" s="63" t="n">
        <f aca="false">600/1000</f>
        <v>0.6</v>
      </c>
      <c r="E179" s="63" t="n">
        <f aca="false">400/1000</f>
        <v>0.4</v>
      </c>
      <c r="F179" s="51" t="n">
        <f aca="false">(D179+E179)/2</f>
        <v>0.5</v>
      </c>
    </row>
    <row r="180" customFormat="false" ht="15.75" hidden="false" customHeight="true" outlineLevel="0" collapsed="false">
      <c r="A180" s="61"/>
      <c r="B180" s="52" t="s">
        <v>52</v>
      </c>
      <c r="C180" s="53"/>
      <c r="D180" s="12" t="n">
        <v>1</v>
      </c>
      <c r="E180" s="64" t="n">
        <f aca="false">950/1000</f>
        <v>0.95</v>
      </c>
      <c r="F180" s="54" t="n">
        <f aca="false">(D180+E180)/2</f>
        <v>0.975</v>
      </c>
    </row>
    <row r="181" customFormat="false" ht="15.75" hidden="false" customHeight="true" outlineLevel="0" collapsed="false">
      <c r="A181" s="59"/>
      <c r="B181" s="48" t="s">
        <v>35</v>
      </c>
      <c r="C181" s="49"/>
      <c r="D181" s="50" t="n">
        <v>1.3</v>
      </c>
      <c r="E181" s="50" t="n">
        <v>1.2</v>
      </c>
      <c r="F181" s="51" t="n">
        <f aca="false">(D181+E181)/2</f>
        <v>1.25</v>
      </c>
    </row>
    <row r="182" customFormat="false" ht="15.75" hidden="false" customHeight="true" outlineLevel="0" collapsed="false">
      <c r="A182" s="55" t="n">
        <v>46</v>
      </c>
      <c r="B182" s="56" t="s">
        <v>94</v>
      </c>
      <c r="C182" s="57" t="s">
        <v>202</v>
      </c>
      <c r="D182" s="55"/>
      <c r="E182" s="55"/>
      <c r="F182" s="58"/>
    </row>
    <row r="183" customFormat="false" ht="15.75" hidden="false" customHeight="true" outlineLevel="0" collapsed="false">
      <c r="A183" s="59"/>
      <c r="B183" s="60" t="s">
        <v>23</v>
      </c>
      <c r="C183" s="49"/>
      <c r="D183" s="50" t="n">
        <v>1.3</v>
      </c>
      <c r="E183" s="50" t="n">
        <v>1.4</v>
      </c>
      <c r="F183" s="51" t="n">
        <f aca="false">(D183+E183)/2</f>
        <v>1.35</v>
      </c>
    </row>
    <row r="184" customFormat="false" ht="15.75" hidden="false" customHeight="true" outlineLevel="0" collapsed="false">
      <c r="A184" s="61"/>
      <c r="B184" s="62" t="s">
        <v>44</v>
      </c>
      <c r="C184" s="53"/>
      <c r="D184" s="12" t="n">
        <v>1.4</v>
      </c>
      <c r="E184" s="12" t="n">
        <v>1.4</v>
      </c>
      <c r="F184" s="54" t="n">
        <f aca="false">(D184+E184)/2</f>
        <v>1.4</v>
      </c>
    </row>
    <row r="185" customFormat="false" ht="15.75" hidden="false" customHeight="true" outlineLevel="0" collapsed="false">
      <c r="A185" s="59"/>
      <c r="B185" s="60" t="s">
        <v>86</v>
      </c>
      <c r="C185" s="49"/>
      <c r="D185" s="50" t="n">
        <v>1.8</v>
      </c>
      <c r="E185" s="50" t="n">
        <v>1.1</v>
      </c>
      <c r="F185" s="51" t="n">
        <f aca="false">(D185+E185)/2</f>
        <v>1.45</v>
      </c>
    </row>
    <row r="186" customFormat="false" ht="15.75" hidden="false" customHeight="true" outlineLevel="0" collapsed="false">
      <c r="A186" s="55" t="n">
        <v>47</v>
      </c>
      <c r="B186" s="56" t="s">
        <v>96</v>
      </c>
      <c r="C186" s="57" t="s">
        <v>203</v>
      </c>
      <c r="D186" s="55"/>
      <c r="E186" s="55"/>
      <c r="F186" s="58"/>
    </row>
    <row r="187" customFormat="false" ht="15.75" hidden="false" customHeight="true" outlineLevel="0" collapsed="false">
      <c r="A187" s="59"/>
      <c r="B187" s="48" t="s">
        <v>116</v>
      </c>
      <c r="C187" s="49"/>
      <c r="D187" s="63" t="n">
        <f aca="false">450/1000</f>
        <v>0.45</v>
      </c>
      <c r="E187" s="50" t="n">
        <v>3.2</v>
      </c>
      <c r="F187" s="51" t="n">
        <f aca="false">(D187+E187)/2</f>
        <v>1.825</v>
      </c>
    </row>
    <row r="188" customFormat="false" ht="15.75" hidden="false" customHeight="true" outlineLevel="0" collapsed="false">
      <c r="A188" s="61"/>
      <c r="B188" s="52" t="s">
        <v>17</v>
      </c>
      <c r="C188" s="53"/>
      <c r="D188" s="12" t="n">
        <v>3.2</v>
      </c>
      <c r="E188" s="12" t="n">
        <v>1.5</v>
      </c>
      <c r="F188" s="54" t="n">
        <f aca="false">(D188+E188)/2</f>
        <v>2.35</v>
      </c>
    </row>
    <row r="189" customFormat="false" ht="15.75" hidden="false" customHeight="true" outlineLevel="0" collapsed="false">
      <c r="A189" s="59"/>
      <c r="B189" s="48" t="s">
        <v>110</v>
      </c>
      <c r="C189" s="49"/>
      <c r="D189" s="50" t="n">
        <v>4.3</v>
      </c>
      <c r="E189" s="50" t="n">
        <v>1.4</v>
      </c>
      <c r="F189" s="51" t="n">
        <f aca="false">(D189+E189)/2</f>
        <v>2.85</v>
      </c>
    </row>
    <row r="190" customFormat="false" ht="15.75" hidden="false" customHeight="true" outlineLevel="0" collapsed="false">
      <c r="A190" s="55" t="n">
        <v>48</v>
      </c>
      <c r="B190" s="56" t="s">
        <v>98</v>
      </c>
      <c r="C190" s="57" t="s">
        <v>204</v>
      </c>
      <c r="D190" s="55"/>
      <c r="E190" s="55"/>
      <c r="F190" s="58"/>
    </row>
    <row r="191" customFormat="false" ht="15.75" hidden="false" customHeight="true" outlineLevel="0" collapsed="false">
      <c r="A191" s="59"/>
      <c r="B191" s="60" t="s">
        <v>5</v>
      </c>
      <c r="C191" s="49"/>
      <c r="D191" s="50" t="n">
        <v>2.7</v>
      </c>
      <c r="E191" s="50" t="n">
        <v>1</v>
      </c>
      <c r="F191" s="51" t="n">
        <f aca="false">(D191+E191)/2</f>
        <v>1.85</v>
      </c>
    </row>
    <row r="192" customFormat="false" ht="15.75" hidden="false" customHeight="true" outlineLevel="0" collapsed="false">
      <c r="A192" s="61"/>
      <c r="B192" s="62" t="s">
        <v>82</v>
      </c>
      <c r="C192" s="53"/>
      <c r="D192" s="64" t="n">
        <f aca="false">900/1000</f>
        <v>0.9</v>
      </c>
      <c r="E192" s="12" t="n">
        <v>2.8</v>
      </c>
      <c r="F192" s="54" t="n">
        <f aca="false">(D192+E192)/2</f>
        <v>1.85</v>
      </c>
    </row>
    <row r="193" customFormat="false" ht="15.75" hidden="false" customHeight="true" outlineLevel="0" collapsed="false">
      <c r="A193" s="59"/>
      <c r="B193" s="60" t="s">
        <v>100</v>
      </c>
      <c r="C193" s="49"/>
      <c r="D193" s="50" t="n">
        <v>2.8</v>
      </c>
      <c r="E193" s="50" t="n">
        <v>2.4</v>
      </c>
      <c r="F193" s="51" t="n">
        <f aca="false">(D193+E193)/2</f>
        <v>2.6</v>
      </c>
    </row>
    <row r="194" customFormat="false" ht="15.75" hidden="false" customHeight="true" outlineLevel="0" collapsed="false">
      <c r="A194" s="55" t="n">
        <v>49</v>
      </c>
      <c r="B194" s="56" t="s">
        <v>100</v>
      </c>
      <c r="C194" s="57" t="s">
        <v>205</v>
      </c>
      <c r="D194" s="55"/>
      <c r="E194" s="55"/>
      <c r="F194" s="58"/>
    </row>
    <row r="195" customFormat="false" ht="15.75" hidden="false" customHeight="true" outlineLevel="0" collapsed="false">
      <c r="A195" s="59"/>
      <c r="B195" s="48" t="s">
        <v>98</v>
      </c>
      <c r="C195" s="49"/>
      <c r="D195" s="50" t="n">
        <v>2.4</v>
      </c>
      <c r="E195" s="50" t="n">
        <v>2.8</v>
      </c>
      <c r="F195" s="51" t="n">
        <f aca="false">(D195+E195)/2</f>
        <v>2.6</v>
      </c>
    </row>
    <row r="196" customFormat="false" ht="15.75" hidden="false" customHeight="true" outlineLevel="0" collapsed="false">
      <c r="A196" s="61"/>
      <c r="B196" s="52" t="s">
        <v>38</v>
      </c>
      <c r="C196" s="53"/>
      <c r="D196" s="12" t="n">
        <v>1.3</v>
      </c>
      <c r="E196" s="12" t="n">
        <v>1.6</v>
      </c>
      <c r="F196" s="54" t="n">
        <f aca="false">(D196+E196)/2</f>
        <v>1.45</v>
      </c>
    </row>
    <row r="197" customFormat="false" ht="15.75" hidden="false" customHeight="true" outlineLevel="0" collapsed="false">
      <c r="A197" s="59"/>
      <c r="B197" s="48" t="s">
        <v>40</v>
      </c>
      <c r="C197" s="49"/>
      <c r="D197" s="50" t="n">
        <v>1.2</v>
      </c>
      <c r="E197" s="50" t="n">
        <v>1.7</v>
      </c>
      <c r="F197" s="51" t="n">
        <f aca="false">(D197+E197)/2</f>
        <v>1.45</v>
      </c>
    </row>
    <row r="198" customFormat="false" ht="15.75" hidden="false" customHeight="true" outlineLevel="0" collapsed="false">
      <c r="A198" s="55" t="n">
        <v>50</v>
      </c>
      <c r="B198" s="56" t="s">
        <v>102</v>
      </c>
      <c r="C198" s="57" t="s">
        <v>206</v>
      </c>
      <c r="D198" s="55"/>
      <c r="E198" s="55"/>
      <c r="F198" s="58"/>
    </row>
    <row r="199" customFormat="false" ht="15.75" hidden="false" customHeight="true" outlineLevel="0" collapsed="false">
      <c r="A199" s="59"/>
      <c r="B199" s="60" t="s">
        <v>35</v>
      </c>
      <c r="C199" s="49"/>
      <c r="D199" s="50" t="n">
        <f aca="false">350/1000</f>
        <v>0.35</v>
      </c>
      <c r="E199" s="50" t="n">
        <f aca="false">700/1000</f>
        <v>0.7</v>
      </c>
      <c r="F199" s="51" t="n">
        <f aca="false">(D199+E199)/2</f>
        <v>0.525</v>
      </c>
    </row>
    <row r="200" customFormat="false" ht="15.75" hidden="false" customHeight="true" outlineLevel="0" collapsed="false">
      <c r="A200" s="61"/>
      <c r="B200" s="62" t="s">
        <v>48</v>
      </c>
      <c r="C200" s="53"/>
      <c r="D200" s="64" t="n">
        <f aca="false">650/1000</f>
        <v>0.65</v>
      </c>
      <c r="E200" s="64" t="n">
        <f aca="false">850/1000</f>
        <v>0.85</v>
      </c>
      <c r="F200" s="54" t="n">
        <f aca="false">(D200+E200)/2</f>
        <v>0.75</v>
      </c>
    </row>
    <row r="201" customFormat="false" ht="15.75" hidden="false" customHeight="true" outlineLevel="0" collapsed="false">
      <c r="A201" s="59"/>
      <c r="B201" s="60" t="s">
        <v>52</v>
      </c>
      <c r="C201" s="49"/>
      <c r="D201" s="63" t="n">
        <f aca="false">850/1000</f>
        <v>0.85</v>
      </c>
      <c r="E201" s="50" t="n">
        <v>1.4</v>
      </c>
      <c r="F201" s="51" t="n">
        <f aca="false">(D201+E201)/2</f>
        <v>1.125</v>
      </c>
    </row>
    <row r="202" customFormat="false" ht="15.75" hidden="false" customHeight="true" outlineLevel="0" collapsed="false">
      <c r="A202" s="65" t="n">
        <v>51</v>
      </c>
      <c r="B202" s="66" t="s">
        <v>104</v>
      </c>
      <c r="C202" s="67" t="s">
        <v>207</v>
      </c>
      <c r="D202" s="68" t="s">
        <v>179</v>
      </c>
      <c r="E202" s="68"/>
      <c r="F202" s="68"/>
      <c r="H202" s="21"/>
    </row>
    <row r="203" customFormat="false" ht="15.75" hidden="false" customHeight="true" outlineLevel="0" collapsed="false">
      <c r="A203" s="59"/>
      <c r="B203" s="48" t="s">
        <v>25</v>
      </c>
      <c r="C203" s="49"/>
      <c r="D203" s="50" t="n">
        <v>11.3</v>
      </c>
      <c r="E203" s="50" t="n">
        <v>19</v>
      </c>
      <c r="F203" s="51" t="n">
        <f aca="false">(D203+E203)/2</f>
        <v>15.15</v>
      </c>
    </row>
    <row r="204" customFormat="false" ht="15.75" hidden="false" customHeight="true" outlineLevel="0" collapsed="false">
      <c r="A204" s="61"/>
      <c r="B204" s="52" t="s">
        <v>108</v>
      </c>
      <c r="C204" s="53"/>
      <c r="D204" s="12" t="n">
        <v>7.9</v>
      </c>
      <c r="E204" s="12" t="n">
        <v>7.4</v>
      </c>
      <c r="F204" s="54" t="n">
        <f aca="false">(D204+E204)/2</f>
        <v>7.65</v>
      </c>
    </row>
    <row r="205" customFormat="false" ht="15.75" hidden="false" customHeight="true" outlineLevel="0" collapsed="false">
      <c r="A205" s="59"/>
      <c r="B205" s="48" t="s">
        <v>126</v>
      </c>
      <c r="C205" s="49"/>
      <c r="D205" s="50" t="n">
        <v>11.7</v>
      </c>
      <c r="E205" s="50" t="n">
        <v>9.2</v>
      </c>
      <c r="F205" s="51" t="n">
        <f aca="false">(D205+E205)/2</f>
        <v>10.45</v>
      </c>
    </row>
    <row r="206" customFormat="false" ht="15.75" hidden="false" customHeight="true" outlineLevel="0" collapsed="false">
      <c r="A206" s="55" t="n">
        <v>52</v>
      </c>
      <c r="B206" s="56" t="s">
        <v>106</v>
      </c>
      <c r="C206" s="57" t="s">
        <v>208</v>
      </c>
      <c r="D206" s="55"/>
      <c r="E206" s="55"/>
      <c r="F206" s="58"/>
    </row>
    <row r="207" customFormat="false" ht="15.75" hidden="false" customHeight="true" outlineLevel="0" collapsed="false">
      <c r="A207" s="59"/>
      <c r="B207" s="60" t="s">
        <v>9</v>
      </c>
      <c r="C207" s="49"/>
      <c r="D207" s="50" t="n">
        <v>1.4</v>
      </c>
      <c r="E207" s="63" t="n">
        <f aca="false">700/1000</f>
        <v>0.7</v>
      </c>
      <c r="F207" s="51" t="n">
        <f aca="false">(D207+E207)/2</f>
        <v>1.05</v>
      </c>
    </row>
    <row r="208" customFormat="false" ht="15.75" hidden="false" customHeight="true" outlineLevel="0" collapsed="false">
      <c r="A208" s="61"/>
      <c r="B208" s="62" t="s">
        <v>58</v>
      </c>
      <c r="C208" s="53"/>
      <c r="D208" s="64" t="n">
        <f aca="false">650/1000</f>
        <v>0.65</v>
      </c>
      <c r="E208" s="64" t="n">
        <f aca="false">700/1000</f>
        <v>0.7</v>
      </c>
      <c r="F208" s="54" t="n">
        <f aca="false">(D208+E208)/2</f>
        <v>0.675</v>
      </c>
    </row>
    <row r="209" customFormat="false" ht="15.75" hidden="false" customHeight="true" outlineLevel="0" collapsed="false">
      <c r="A209" s="59"/>
      <c r="B209" s="60" t="s">
        <v>29</v>
      </c>
      <c r="C209" s="49"/>
      <c r="D209" s="50" t="n">
        <v>1.6</v>
      </c>
      <c r="E209" s="50" t="n">
        <v>1</v>
      </c>
      <c r="F209" s="51" t="n">
        <f aca="false">(D209+E209)/2</f>
        <v>1.3</v>
      </c>
    </row>
    <row r="210" customFormat="false" ht="15.75" hidden="false" customHeight="true" outlineLevel="0" collapsed="false">
      <c r="A210" s="55" t="n">
        <v>53</v>
      </c>
      <c r="B210" s="56" t="s">
        <v>108</v>
      </c>
      <c r="C210" s="57" t="s">
        <v>209</v>
      </c>
      <c r="D210" s="55"/>
      <c r="E210" s="55"/>
      <c r="F210" s="58"/>
    </row>
    <row r="211" customFormat="false" ht="15.75" hidden="false" customHeight="true" outlineLevel="0" collapsed="false">
      <c r="A211" s="59"/>
      <c r="B211" s="48" t="s">
        <v>72</v>
      </c>
      <c r="C211" s="49"/>
      <c r="D211" s="63" t="n">
        <f aca="false">900/1000</f>
        <v>0.9</v>
      </c>
      <c r="E211" s="50" t="n">
        <v>4.2</v>
      </c>
      <c r="F211" s="51" t="n">
        <f aca="false">(D211+E211)/2</f>
        <v>2.55</v>
      </c>
    </row>
    <row r="212" customFormat="false" ht="15.75" hidden="false" customHeight="true" outlineLevel="0" collapsed="false">
      <c r="A212" s="61"/>
      <c r="B212" s="52" t="s">
        <v>126</v>
      </c>
      <c r="C212" s="53"/>
      <c r="D212" s="12" t="n">
        <v>4</v>
      </c>
      <c r="E212" s="12" t="n">
        <v>2.2</v>
      </c>
      <c r="F212" s="54" t="n">
        <f aca="false">(D212+E212)/2</f>
        <v>3.1</v>
      </c>
    </row>
    <row r="213" customFormat="false" ht="15.75" hidden="false" customHeight="true" outlineLevel="0" collapsed="false">
      <c r="A213" s="59"/>
      <c r="B213" s="48" t="s">
        <v>31</v>
      </c>
      <c r="C213" s="49"/>
      <c r="D213" s="50" t="n">
        <v>2.7</v>
      </c>
      <c r="E213" s="50" t="n">
        <v>2.2</v>
      </c>
      <c r="F213" s="51" t="n">
        <f aca="false">(D213+E213)/2</f>
        <v>2.45</v>
      </c>
    </row>
    <row r="214" customFormat="false" ht="15.75" hidden="false" customHeight="true" outlineLevel="0" collapsed="false">
      <c r="A214" s="55" t="n">
        <v>54</v>
      </c>
      <c r="B214" s="56" t="s">
        <v>110</v>
      </c>
      <c r="C214" s="57" t="s">
        <v>210</v>
      </c>
      <c r="D214" s="55"/>
      <c r="E214" s="55"/>
      <c r="F214" s="58"/>
    </row>
    <row r="215" customFormat="false" ht="15.75" hidden="false" customHeight="true" outlineLevel="0" collapsed="false">
      <c r="A215" s="59"/>
      <c r="B215" s="60" t="s">
        <v>70</v>
      </c>
      <c r="C215" s="49"/>
      <c r="D215" s="50" t="n">
        <v>1.8</v>
      </c>
      <c r="E215" s="50" t="n">
        <v>2.6</v>
      </c>
      <c r="F215" s="51" t="n">
        <f aca="false">(D215+E215)/2</f>
        <v>2.2</v>
      </c>
    </row>
    <row r="216" customFormat="false" ht="15.75" hidden="false" customHeight="true" outlineLevel="0" collapsed="false">
      <c r="A216" s="61"/>
      <c r="B216" s="62" t="s">
        <v>112</v>
      </c>
      <c r="C216" s="53"/>
      <c r="D216" s="12" t="n">
        <v>3.2</v>
      </c>
      <c r="E216" s="12" t="n">
        <v>1.8</v>
      </c>
      <c r="F216" s="54" t="n">
        <f aca="false">(D216+E216)/2</f>
        <v>2.5</v>
      </c>
    </row>
    <row r="217" customFormat="false" ht="15.75" hidden="false" customHeight="true" outlineLevel="0" collapsed="false">
      <c r="A217" s="59"/>
      <c r="B217" s="60" t="s">
        <v>68</v>
      </c>
      <c r="C217" s="49"/>
      <c r="D217" s="50" t="n">
        <v>1.5</v>
      </c>
      <c r="E217" s="50" t="n">
        <v>2.2</v>
      </c>
      <c r="F217" s="51" t="n">
        <f aca="false">(D217+E217)/2</f>
        <v>1.85</v>
      </c>
    </row>
    <row r="218" customFormat="false" ht="15.75" hidden="false" customHeight="true" outlineLevel="0" collapsed="false">
      <c r="A218" s="55" t="n">
        <v>55</v>
      </c>
      <c r="B218" s="56" t="s">
        <v>112</v>
      </c>
      <c r="C218" s="57" t="s">
        <v>211</v>
      </c>
      <c r="D218" s="55"/>
      <c r="E218" s="55"/>
      <c r="F218" s="58"/>
    </row>
    <row r="219" customFormat="false" ht="15.75" hidden="false" customHeight="true" outlineLevel="0" collapsed="false">
      <c r="A219" s="59"/>
      <c r="B219" s="48" t="s">
        <v>78</v>
      </c>
      <c r="C219" s="49"/>
      <c r="D219" s="50" t="n">
        <v>3.4</v>
      </c>
      <c r="E219" s="63" t="n">
        <f aca="false">700/1000</f>
        <v>0.7</v>
      </c>
      <c r="F219" s="51" t="n">
        <f aca="false">(D219+E219)/2</f>
        <v>2.05</v>
      </c>
    </row>
    <row r="220" customFormat="false" ht="15.75" hidden="false" customHeight="true" outlineLevel="0" collapsed="false">
      <c r="A220" s="61"/>
      <c r="B220" s="52" t="s">
        <v>70</v>
      </c>
      <c r="C220" s="53"/>
      <c r="D220" s="12" t="n">
        <v>2.1</v>
      </c>
      <c r="E220" s="12" t="n">
        <v>1.7</v>
      </c>
      <c r="F220" s="54" t="n">
        <f aca="false">(D220+E220)/2</f>
        <v>1.9</v>
      </c>
    </row>
    <row r="221" customFormat="false" ht="15.75" hidden="false" customHeight="true" outlineLevel="0" collapsed="false">
      <c r="A221" s="59"/>
      <c r="B221" s="48" t="s">
        <v>13</v>
      </c>
      <c r="C221" s="49"/>
      <c r="D221" s="50" t="n">
        <v>1.5</v>
      </c>
      <c r="E221" s="50" t="n">
        <v>3.4</v>
      </c>
      <c r="F221" s="51" t="n">
        <f aca="false">(D221+E221)/2</f>
        <v>2.45</v>
      </c>
    </row>
    <row r="222" customFormat="false" ht="15.75" hidden="false" customHeight="true" outlineLevel="0" collapsed="false">
      <c r="A222" s="55" t="n">
        <v>56</v>
      </c>
      <c r="B222" s="56" t="s">
        <v>114</v>
      </c>
      <c r="C222" s="57" t="s">
        <v>212</v>
      </c>
      <c r="D222" s="55"/>
      <c r="E222" s="55"/>
      <c r="F222" s="58"/>
    </row>
    <row r="223" customFormat="false" ht="15.75" hidden="false" customHeight="true" outlineLevel="0" collapsed="false">
      <c r="A223" s="59"/>
      <c r="B223" s="60" t="s">
        <v>35</v>
      </c>
      <c r="C223" s="49"/>
      <c r="D223" s="63" t="n">
        <f aca="false">900/1000</f>
        <v>0.9</v>
      </c>
      <c r="E223" s="63" t="n">
        <f aca="false">850/1000</f>
        <v>0.85</v>
      </c>
      <c r="F223" s="51" t="n">
        <f aca="false">(D223+E223)/2</f>
        <v>0.875</v>
      </c>
    </row>
    <row r="224" customFormat="false" ht="15.75" hidden="false" customHeight="true" outlineLevel="0" collapsed="false">
      <c r="A224" s="61"/>
      <c r="B224" s="62" t="s">
        <v>102</v>
      </c>
      <c r="C224" s="53"/>
      <c r="D224" s="64" t="n">
        <f aca="false">850/1000</f>
        <v>0.85</v>
      </c>
      <c r="E224" s="12" t="n">
        <v>1.1</v>
      </c>
      <c r="F224" s="54" t="n">
        <f aca="false">(D224+E224)/2</f>
        <v>0.975</v>
      </c>
    </row>
    <row r="225" customFormat="false" ht="15.75" hidden="false" customHeight="true" outlineLevel="0" collapsed="false">
      <c r="A225" s="59"/>
      <c r="B225" s="60" t="s">
        <v>52</v>
      </c>
      <c r="C225" s="49"/>
      <c r="D225" s="50" t="n">
        <v>1.1</v>
      </c>
      <c r="E225" s="50" t="n">
        <v>1.6</v>
      </c>
      <c r="F225" s="51" t="n">
        <f aca="false">(D225+E225)/2</f>
        <v>1.35</v>
      </c>
    </row>
    <row r="226" customFormat="false" ht="15.75" hidden="false" customHeight="true" outlineLevel="0" collapsed="false">
      <c r="A226" s="55" t="n">
        <v>57</v>
      </c>
      <c r="B226" s="56" t="s">
        <v>116</v>
      </c>
      <c r="C226" s="57" t="s">
        <v>213</v>
      </c>
      <c r="D226" s="55"/>
      <c r="E226" s="55"/>
      <c r="F226" s="58"/>
    </row>
    <row r="227" customFormat="false" ht="15.75" hidden="false" customHeight="true" outlineLevel="0" collapsed="false">
      <c r="A227" s="59"/>
      <c r="B227" s="48" t="s">
        <v>96</v>
      </c>
      <c r="C227" s="49"/>
      <c r="D227" s="50" t="n">
        <v>3.2</v>
      </c>
      <c r="E227" s="63" t="n">
        <f aca="false">450/1000</f>
        <v>0.45</v>
      </c>
      <c r="F227" s="51" t="n">
        <f aca="false">(D227+E227)/2</f>
        <v>1.825</v>
      </c>
    </row>
    <row r="228" customFormat="false" ht="15.75" hidden="false" customHeight="true" outlineLevel="0" collapsed="false">
      <c r="A228" s="61"/>
      <c r="B228" s="52" t="s">
        <v>17</v>
      </c>
      <c r="C228" s="53"/>
      <c r="D228" s="12" t="n">
        <v>2.8</v>
      </c>
      <c r="E228" s="12" t="n">
        <v>1.9</v>
      </c>
      <c r="F228" s="54" t="n">
        <f aca="false">(D228+E228)/2</f>
        <v>2.35</v>
      </c>
    </row>
    <row r="229" customFormat="false" ht="15.75" hidden="false" customHeight="true" outlineLevel="0" collapsed="false">
      <c r="A229" s="59"/>
      <c r="B229" s="48" t="s">
        <v>110</v>
      </c>
      <c r="C229" s="49"/>
      <c r="D229" s="50" t="n">
        <v>3.9</v>
      </c>
      <c r="E229" s="50" t="n">
        <v>1.9</v>
      </c>
      <c r="F229" s="51" t="n">
        <f aca="false">(D229+E229)/2</f>
        <v>2.9</v>
      </c>
    </row>
    <row r="230" customFormat="false" ht="15.75" hidden="false" customHeight="true" outlineLevel="0" collapsed="false">
      <c r="A230" s="55" t="n">
        <v>58</v>
      </c>
      <c r="B230" s="56" t="s">
        <v>118</v>
      </c>
      <c r="C230" s="57" t="s">
        <v>214</v>
      </c>
      <c r="D230" s="55"/>
      <c r="E230" s="55"/>
      <c r="F230" s="58"/>
    </row>
    <row r="231" customFormat="false" ht="15.75" hidden="false" customHeight="true" outlineLevel="0" collapsed="false">
      <c r="A231" s="59"/>
      <c r="B231" s="60" t="s">
        <v>50</v>
      </c>
      <c r="C231" s="49"/>
      <c r="D231" s="63" t="n">
        <f aca="false">450/1000</f>
        <v>0.45</v>
      </c>
      <c r="E231" s="63" t="n">
        <f aca="false">450/1000</f>
        <v>0.45</v>
      </c>
      <c r="F231" s="51" t="n">
        <f aca="false">(D231+E231)/2</f>
        <v>0.45</v>
      </c>
    </row>
    <row r="232" customFormat="false" ht="15.75" hidden="false" customHeight="true" outlineLevel="0" collapsed="false">
      <c r="A232" s="61"/>
      <c r="B232" s="62" t="s">
        <v>54</v>
      </c>
      <c r="C232" s="53"/>
      <c r="D232" s="12" t="n">
        <v>1.5</v>
      </c>
      <c r="E232" s="12" t="n">
        <v>1.2</v>
      </c>
      <c r="F232" s="54" t="n">
        <f aca="false">(D232+E232)/2</f>
        <v>1.35</v>
      </c>
    </row>
    <row r="233" customFormat="false" ht="15.75" hidden="false" customHeight="true" outlineLevel="0" collapsed="false">
      <c r="A233" s="59"/>
      <c r="B233" s="60" t="s">
        <v>62</v>
      </c>
      <c r="C233" s="49"/>
      <c r="D233" s="50" t="n">
        <v>1.7</v>
      </c>
      <c r="E233" s="50" t="n">
        <v>2.3</v>
      </c>
      <c r="F233" s="51" t="n">
        <f aca="false">(D233+E233)/2</f>
        <v>2</v>
      </c>
    </row>
    <row r="234" customFormat="false" ht="15.75" hidden="false" customHeight="true" outlineLevel="0" collapsed="false">
      <c r="A234" s="55" t="n">
        <v>59</v>
      </c>
      <c r="B234" s="56" t="s">
        <v>120</v>
      </c>
      <c r="C234" s="57" t="s">
        <v>215</v>
      </c>
      <c r="D234" s="55"/>
      <c r="E234" s="55"/>
      <c r="F234" s="58"/>
    </row>
    <row r="235" customFormat="false" ht="15.75" hidden="false" customHeight="true" outlineLevel="0" collapsed="false">
      <c r="A235" s="59"/>
      <c r="B235" s="48" t="s">
        <v>128</v>
      </c>
      <c r="C235" s="49"/>
      <c r="D235" s="50" t="n">
        <v>2.1</v>
      </c>
      <c r="E235" s="50" t="n">
        <v>1.3</v>
      </c>
      <c r="F235" s="51" t="n">
        <f aca="false">(D235+E235)/2</f>
        <v>1.7</v>
      </c>
    </row>
    <row r="236" customFormat="false" ht="15.75" hidden="false" customHeight="true" outlineLevel="0" collapsed="false">
      <c r="A236" s="61"/>
      <c r="B236" s="52" t="s">
        <v>11</v>
      </c>
      <c r="C236" s="53"/>
      <c r="D236" s="12" t="n">
        <v>1.8</v>
      </c>
      <c r="E236" s="12" t="n">
        <v>1.5</v>
      </c>
      <c r="F236" s="54" t="n">
        <f aca="false">(D236+E236)/2</f>
        <v>1.65</v>
      </c>
    </row>
    <row r="237" customFormat="false" ht="15.75" hidden="false" customHeight="true" outlineLevel="0" collapsed="false">
      <c r="A237" s="59"/>
      <c r="B237" s="48" t="s">
        <v>23</v>
      </c>
      <c r="C237" s="49"/>
      <c r="D237" s="50" t="n">
        <v>2.2</v>
      </c>
      <c r="E237" s="50" t="n">
        <v>1.6</v>
      </c>
      <c r="F237" s="51" t="n">
        <f aca="false">(D237+E237)/2</f>
        <v>1.9</v>
      </c>
    </row>
    <row r="238" customFormat="false" ht="15.75" hidden="false" customHeight="true" outlineLevel="0" collapsed="false">
      <c r="A238" s="65" t="n">
        <v>60</v>
      </c>
      <c r="B238" s="66" t="s">
        <v>122</v>
      </c>
      <c r="C238" s="67" t="s">
        <v>216</v>
      </c>
      <c r="D238" s="68" t="s">
        <v>179</v>
      </c>
      <c r="E238" s="68"/>
      <c r="F238" s="68"/>
      <c r="H238" s="21"/>
    </row>
    <row r="239" customFormat="false" ht="15.75" hidden="false" customHeight="true" outlineLevel="0" collapsed="false">
      <c r="A239" s="59"/>
      <c r="B239" s="60" t="s">
        <v>38</v>
      </c>
      <c r="C239" s="49"/>
      <c r="D239" s="50" t="n">
        <v>6.9</v>
      </c>
      <c r="E239" s="50" t="n">
        <v>6.5</v>
      </c>
      <c r="F239" s="51" t="n">
        <f aca="false">(D239+E239)/2</f>
        <v>6.7</v>
      </c>
    </row>
    <row r="240" customFormat="false" ht="15.75" hidden="false" customHeight="true" outlineLevel="0" collapsed="false">
      <c r="A240" s="61"/>
      <c r="B240" s="62" t="s">
        <v>40</v>
      </c>
      <c r="C240" s="53"/>
      <c r="D240" s="12" t="n">
        <v>7.5</v>
      </c>
      <c r="E240" s="12" t="n">
        <v>6.6</v>
      </c>
      <c r="F240" s="54" t="n">
        <f aca="false">(D240+E240)/2</f>
        <v>7.05</v>
      </c>
    </row>
    <row r="241" customFormat="false" ht="15.75" hidden="false" customHeight="true" outlineLevel="0" collapsed="false">
      <c r="A241" s="59"/>
      <c r="B241" s="60" t="s">
        <v>31</v>
      </c>
      <c r="C241" s="49"/>
      <c r="D241" s="50" t="n">
        <v>6.5</v>
      </c>
      <c r="E241" s="50" t="n">
        <v>8.8</v>
      </c>
      <c r="F241" s="51" t="n">
        <f aca="false">(D241+E241)/2</f>
        <v>7.65</v>
      </c>
    </row>
    <row r="242" customFormat="false" ht="15.75" hidden="false" customHeight="true" outlineLevel="0" collapsed="false">
      <c r="A242" s="55" t="n">
        <v>61</v>
      </c>
      <c r="B242" s="56" t="s">
        <v>124</v>
      </c>
      <c r="C242" s="57" t="s">
        <v>217</v>
      </c>
      <c r="D242" s="55"/>
      <c r="E242" s="55"/>
      <c r="F242" s="58"/>
    </row>
    <row r="243" customFormat="false" ht="15.75" hidden="false" customHeight="true" outlineLevel="0" collapsed="false">
      <c r="A243" s="59"/>
      <c r="B243" s="48" t="s">
        <v>27</v>
      </c>
      <c r="C243" s="49"/>
      <c r="D243" s="63" t="n">
        <f aca="false">700/1000</f>
        <v>0.7</v>
      </c>
      <c r="E243" s="50" t="n">
        <v>1</v>
      </c>
      <c r="F243" s="51" t="n">
        <f aca="false">(D243+E243)/2</f>
        <v>0.85</v>
      </c>
    </row>
    <row r="244" customFormat="false" ht="15.75" hidden="false" customHeight="true" outlineLevel="0" collapsed="false">
      <c r="A244" s="61"/>
      <c r="B244" s="52" t="s">
        <v>88</v>
      </c>
      <c r="C244" s="53"/>
      <c r="D244" s="12" t="n">
        <v>1.9</v>
      </c>
      <c r="E244" s="12" t="n">
        <v>1.2</v>
      </c>
      <c r="F244" s="54" t="n">
        <f aca="false">(D244+E244)/2</f>
        <v>1.55</v>
      </c>
    </row>
    <row r="245" customFormat="false" ht="15.75" hidden="false" customHeight="true" outlineLevel="0" collapsed="false">
      <c r="A245" s="59"/>
      <c r="B245" s="48" t="s">
        <v>92</v>
      </c>
      <c r="C245" s="49"/>
      <c r="D245" s="50" t="n">
        <v>2.2</v>
      </c>
      <c r="E245" s="50" t="n">
        <v>1.5</v>
      </c>
      <c r="F245" s="51" t="n">
        <f aca="false">(D245+E245)/2</f>
        <v>1.85</v>
      </c>
    </row>
    <row r="246" customFormat="false" ht="15.75" hidden="false" customHeight="true" outlineLevel="0" collapsed="false">
      <c r="A246" s="55" t="n">
        <v>62</v>
      </c>
      <c r="B246" s="56" t="s">
        <v>126</v>
      </c>
      <c r="C246" s="57" t="s">
        <v>218</v>
      </c>
      <c r="D246" s="55"/>
      <c r="E246" s="55"/>
      <c r="F246" s="58"/>
    </row>
    <row r="247" customFormat="false" ht="15.75" hidden="false" customHeight="true" outlineLevel="0" collapsed="false">
      <c r="A247" s="59"/>
      <c r="B247" s="60" t="s">
        <v>90</v>
      </c>
      <c r="C247" s="49"/>
      <c r="D247" s="50" t="n">
        <v>2.6</v>
      </c>
      <c r="E247" s="50" t="n">
        <v>2</v>
      </c>
      <c r="F247" s="51" t="n">
        <f aca="false">(D247+E247)/2</f>
        <v>2.3</v>
      </c>
    </row>
    <row r="248" customFormat="false" ht="15.75" hidden="false" customHeight="true" outlineLevel="0" collapsed="false">
      <c r="A248" s="61"/>
      <c r="B248" s="62" t="s">
        <v>11</v>
      </c>
      <c r="C248" s="53"/>
      <c r="D248" s="12" t="n">
        <v>2.8</v>
      </c>
      <c r="E248" s="12" t="n">
        <v>2.4</v>
      </c>
      <c r="F248" s="54" t="n">
        <f aca="false">(D248+E248)/2</f>
        <v>2.6</v>
      </c>
    </row>
    <row r="249" customFormat="false" ht="15.75" hidden="false" customHeight="true" outlineLevel="0" collapsed="false">
      <c r="A249" s="59"/>
      <c r="B249" s="60" t="s">
        <v>58</v>
      </c>
      <c r="C249" s="49"/>
      <c r="D249" s="50" t="n">
        <v>1.7</v>
      </c>
      <c r="E249" s="50" t="n">
        <v>1.1</v>
      </c>
      <c r="F249" s="51" t="n">
        <f aca="false">(D249+E249)/2</f>
        <v>1.4</v>
      </c>
    </row>
    <row r="250" customFormat="false" ht="15.75" hidden="false" customHeight="true" outlineLevel="0" collapsed="false">
      <c r="A250" s="55" t="n">
        <v>63</v>
      </c>
      <c r="B250" s="56" t="s">
        <v>128</v>
      </c>
      <c r="C250" s="57" t="s">
        <v>219</v>
      </c>
      <c r="D250" s="55"/>
      <c r="E250" s="55"/>
      <c r="F250" s="58"/>
    </row>
    <row r="251" customFormat="false" ht="15.75" hidden="false" customHeight="true" outlineLevel="0" collapsed="false">
      <c r="A251" s="59"/>
      <c r="B251" s="60" t="s">
        <v>82</v>
      </c>
      <c r="C251" s="49"/>
      <c r="D251" s="50" t="n">
        <v>1.6</v>
      </c>
      <c r="E251" s="50" t="n">
        <v>2</v>
      </c>
      <c r="F251" s="51" t="n">
        <f aca="false">(D251+E251)/2</f>
        <v>1.8</v>
      </c>
    </row>
    <row r="252" customFormat="false" ht="15.75" hidden="false" customHeight="true" outlineLevel="0" collapsed="false">
      <c r="A252" s="61"/>
      <c r="B252" s="62" t="s">
        <v>120</v>
      </c>
      <c r="C252" s="53"/>
      <c r="D252" s="12" t="n">
        <v>1.3</v>
      </c>
      <c r="E252" s="12" t="n">
        <v>2.1</v>
      </c>
      <c r="F252" s="54" t="n">
        <f aca="false">(D252+E252)/2</f>
        <v>1.7</v>
      </c>
    </row>
    <row r="253" customFormat="false" ht="15.75" hidden="false" customHeight="true" outlineLevel="0" collapsed="false">
      <c r="A253" s="70"/>
      <c r="B253" s="71" t="s">
        <v>5</v>
      </c>
      <c r="C253" s="72"/>
      <c r="D253" s="73" t="n">
        <v>1.3</v>
      </c>
      <c r="E253" s="73" t="n">
        <v>2.3</v>
      </c>
      <c r="F253" s="74" t="n">
        <f aca="false">(D253+E253)/2</f>
        <v>1.8</v>
      </c>
    </row>
    <row r="254" customFormat="false" ht="12" hidden="false" customHeight="true" outlineLevel="0" collapsed="false">
      <c r="A254" s="20"/>
      <c r="D254" s="20"/>
      <c r="E254" s="20"/>
      <c r="F254" s="20"/>
    </row>
    <row r="255" customFormat="false" ht="12" hidden="false" customHeight="true" outlineLevel="0" collapsed="false">
      <c r="A255" s="20"/>
      <c r="D255" s="20"/>
      <c r="E255" s="20"/>
      <c r="F255" s="20"/>
    </row>
    <row r="256" customFormat="false" ht="12" hidden="false" customHeight="true" outlineLevel="0" collapsed="false">
      <c r="A256" s="20"/>
      <c r="D256" s="20"/>
      <c r="E256" s="20"/>
      <c r="F256" s="20"/>
    </row>
    <row r="257" customFormat="false" ht="12" hidden="false" customHeight="true" outlineLevel="0" collapsed="false">
      <c r="D257" s="20"/>
      <c r="E257" s="20"/>
      <c r="F257" s="20"/>
    </row>
    <row r="258" customFormat="false" ht="12" hidden="false" customHeight="true" outlineLevel="0" collapsed="false">
      <c r="D258" s="20"/>
      <c r="E258" s="20"/>
      <c r="F258" s="20"/>
    </row>
    <row r="259" customFormat="false" ht="12" hidden="false" customHeight="true" outlineLevel="0" collapsed="false">
      <c r="D259" s="20"/>
      <c r="E259" s="20"/>
      <c r="F259" s="20"/>
    </row>
    <row r="260" customFormat="false" ht="12" hidden="false" customHeight="true" outlineLevel="0" collapsed="false">
      <c r="D260" s="20"/>
      <c r="E260" s="20"/>
      <c r="F260" s="20"/>
    </row>
    <row r="261" customFormat="false" ht="12" hidden="false" customHeight="true" outlineLevel="0" collapsed="false">
      <c r="D261" s="20"/>
      <c r="E261" s="20"/>
      <c r="F261" s="20"/>
    </row>
    <row r="262" customFormat="false" ht="12" hidden="false" customHeight="true" outlineLevel="0" collapsed="false">
      <c r="D262" s="20"/>
      <c r="E262" s="20"/>
      <c r="F262" s="20"/>
    </row>
    <row r="263" customFormat="false" ht="12" hidden="false" customHeight="true" outlineLevel="0" collapsed="false">
      <c r="D263" s="20"/>
      <c r="E263" s="20"/>
      <c r="F263" s="20"/>
    </row>
    <row r="264" customFormat="false" ht="12" hidden="false" customHeight="true" outlineLevel="0" collapsed="false">
      <c r="D264" s="20"/>
      <c r="E264" s="20"/>
      <c r="F264" s="20"/>
    </row>
    <row r="265" customFormat="false" ht="12" hidden="false" customHeight="true" outlineLevel="0" collapsed="false">
      <c r="D265" s="20"/>
      <c r="E265" s="20"/>
      <c r="F265" s="20"/>
    </row>
    <row r="266" customFormat="false" ht="12" hidden="false" customHeight="true" outlineLevel="0" collapsed="false">
      <c r="D266" s="20"/>
      <c r="E266" s="20"/>
      <c r="F266" s="20"/>
    </row>
    <row r="267" customFormat="false" ht="12" hidden="false" customHeight="true" outlineLevel="0" collapsed="false">
      <c r="D267" s="20"/>
      <c r="E267" s="20"/>
      <c r="F267" s="20"/>
    </row>
    <row r="268" customFormat="false" ht="12" hidden="false" customHeight="true" outlineLevel="0" collapsed="false">
      <c r="D268" s="20"/>
      <c r="E268" s="20"/>
      <c r="F268" s="20"/>
    </row>
    <row r="269" customFormat="false" ht="12" hidden="false" customHeight="true" outlineLevel="0" collapsed="false">
      <c r="D269" s="20"/>
      <c r="E269" s="20"/>
      <c r="F269" s="20"/>
    </row>
    <row r="270" customFormat="false" ht="12" hidden="false" customHeight="true" outlineLevel="0" collapsed="false">
      <c r="D270" s="20"/>
      <c r="E270" s="20"/>
      <c r="F270" s="20"/>
    </row>
    <row r="271" customFormat="false" ht="12" hidden="false" customHeight="true" outlineLevel="0" collapsed="false">
      <c r="D271" s="20"/>
      <c r="E271" s="20"/>
      <c r="F271" s="20"/>
    </row>
    <row r="272" customFormat="false" ht="12" hidden="false" customHeight="true" outlineLevel="0" collapsed="false">
      <c r="D272" s="20"/>
      <c r="E272" s="20"/>
      <c r="F272" s="20"/>
    </row>
    <row r="273" customFormat="false" ht="12" hidden="false" customHeight="true" outlineLevel="0" collapsed="false">
      <c r="D273" s="20"/>
      <c r="E273" s="20"/>
      <c r="F273" s="20"/>
    </row>
    <row r="274" customFormat="false" ht="12" hidden="false" customHeight="true" outlineLevel="0" collapsed="false">
      <c r="D274" s="20"/>
      <c r="E274" s="20"/>
      <c r="F274" s="20"/>
    </row>
    <row r="275" customFormat="false" ht="12" hidden="false" customHeight="true" outlineLevel="0" collapsed="false">
      <c r="D275" s="20"/>
      <c r="E275" s="20"/>
      <c r="F275" s="20"/>
    </row>
    <row r="276" customFormat="false" ht="12" hidden="false" customHeight="true" outlineLevel="0" collapsed="false">
      <c r="D276" s="20"/>
      <c r="E276" s="20"/>
      <c r="F276" s="20"/>
    </row>
    <row r="277" customFormat="false" ht="12" hidden="false" customHeight="true" outlineLevel="0" collapsed="false">
      <c r="D277" s="20"/>
      <c r="E277" s="20"/>
      <c r="F277" s="20"/>
    </row>
    <row r="278" customFormat="false" ht="12" hidden="false" customHeight="true" outlineLevel="0" collapsed="false">
      <c r="D278" s="20"/>
      <c r="E278" s="20"/>
      <c r="F278" s="20"/>
    </row>
    <row r="279" customFormat="false" ht="12" hidden="false" customHeight="true" outlineLevel="0" collapsed="false">
      <c r="D279" s="20"/>
      <c r="E279" s="20"/>
      <c r="F279" s="20"/>
    </row>
    <row r="280" customFormat="false" ht="12" hidden="false" customHeight="true" outlineLevel="0" collapsed="false">
      <c r="D280" s="20"/>
      <c r="E280" s="20"/>
      <c r="F280" s="20"/>
    </row>
    <row r="281" customFormat="false" ht="12" hidden="false" customHeight="true" outlineLevel="0" collapsed="false">
      <c r="D281" s="20"/>
      <c r="E281" s="20"/>
      <c r="F281" s="20"/>
    </row>
    <row r="282" customFormat="false" ht="12" hidden="false" customHeight="true" outlineLevel="0" collapsed="false">
      <c r="D282" s="20"/>
      <c r="E282" s="20"/>
      <c r="F282" s="20"/>
    </row>
    <row r="283" customFormat="false" ht="12" hidden="false" customHeight="true" outlineLevel="0" collapsed="false">
      <c r="D283" s="20"/>
      <c r="E283" s="20"/>
      <c r="F283" s="20"/>
    </row>
    <row r="284" customFormat="false" ht="12" hidden="false" customHeight="true" outlineLevel="0" collapsed="false">
      <c r="D284" s="20"/>
      <c r="E284" s="20"/>
      <c r="F284" s="20"/>
    </row>
    <row r="285" customFormat="false" ht="12" hidden="false" customHeight="true" outlineLevel="0" collapsed="false">
      <c r="D285" s="20"/>
      <c r="E285" s="20"/>
      <c r="F285" s="20"/>
    </row>
    <row r="286" customFormat="false" ht="12" hidden="false" customHeight="true" outlineLevel="0" collapsed="false">
      <c r="D286" s="20"/>
      <c r="E286" s="20"/>
      <c r="F286" s="20"/>
    </row>
    <row r="287" customFormat="false" ht="12" hidden="false" customHeight="true" outlineLevel="0" collapsed="false">
      <c r="D287" s="20"/>
      <c r="E287" s="20"/>
      <c r="F287" s="20"/>
    </row>
    <row r="288" customFormat="false" ht="12" hidden="false" customHeight="true" outlineLevel="0" collapsed="false">
      <c r="D288" s="20"/>
      <c r="E288" s="20"/>
      <c r="F288" s="20"/>
    </row>
    <row r="289" customFormat="false" ht="12" hidden="false" customHeight="true" outlineLevel="0" collapsed="false">
      <c r="D289" s="20"/>
      <c r="E289" s="20"/>
      <c r="F289" s="20"/>
    </row>
    <row r="290" customFormat="false" ht="12" hidden="false" customHeight="true" outlineLevel="0" collapsed="false">
      <c r="D290" s="20"/>
      <c r="E290" s="20"/>
      <c r="F290" s="20"/>
    </row>
    <row r="291" customFormat="false" ht="12" hidden="false" customHeight="true" outlineLevel="0" collapsed="false">
      <c r="D291" s="20"/>
      <c r="E291" s="20"/>
      <c r="F291" s="20"/>
    </row>
    <row r="292" customFormat="false" ht="12" hidden="false" customHeight="true" outlineLevel="0" collapsed="false">
      <c r="D292" s="20"/>
      <c r="E292" s="20"/>
      <c r="F292" s="20"/>
    </row>
    <row r="293" customFormat="false" ht="12" hidden="false" customHeight="true" outlineLevel="0" collapsed="false">
      <c r="D293" s="20"/>
      <c r="E293" s="20"/>
      <c r="F293" s="20"/>
    </row>
    <row r="294" customFormat="false" ht="12" hidden="false" customHeight="true" outlineLevel="0" collapsed="false">
      <c r="D294" s="20"/>
      <c r="E294" s="20"/>
      <c r="F294" s="20"/>
    </row>
    <row r="295" customFormat="false" ht="12" hidden="false" customHeight="true" outlineLevel="0" collapsed="false">
      <c r="D295" s="20"/>
      <c r="E295" s="20"/>
      <c r="F295" s="20"/>
    </row>
    <row r="296" customFormat="false" ht="12" hidden="false" customHeight="true" outlineLevel="0" collapsed="false">
      <c r="D296" s="20"/>
      <c r="E296" s="20"/>
      <c r="F296" s="20"/>
    </row>
    <row r="297" customFormat="false" ht="12" hidden="false" customHeight="true" outlineLevel="0" collapsed="false">
      <c r="D297" s="20"/>
      <c r="E297" s="20"/>
      <c r="F297" s="20"/>
    </row>
    <row r="298" customFormat="false" ht="12" hidden="false" customHeight="true" outlineLevel="0" collapsed="false">
      <c r="D298" s="20"/>
      <c r="E298" s="20"/>
      <c r="F298" s="20"/>
    </row>
    <row r="299" customFormat="false" ht="12" hidden="false" customHeight="true" outlineLevel="0" collapsed="false">
      <c r="D299" s="20"/>
      <c r="E299" s="20"/>
      <c r="F299" s="20"/>
    </row>
    <row r="300" customFormat="false" ht="12" hidden="false" customHeight="true" outlineLevel="0" collapsed="false">
      <c r="D300" s="20"/>
      <c r="E300" s="20"/>
      <c r="F300" s="20"/>
    </row>
    <row r="301" customFormat="false" ht="12" hidden="false" customHeight="true" outlineLevel="0" collapsed="false">
      <c r="D301" s="20"/>
      <c r="E301" s="20"/>
      <c r="F301" s="20"/>
    </row>
    <row r="302" customFormat="false" ht="12" hidden="false" customHeight="true" outlineLevel="0" collapsed="false">
      <c r="D302" s="20"/>
      <c r="E302" s="20"/>
      <c r="F302" s="20"/>
    </row>
    <row r="303" customFormat="false" ht="12" hidden="false" customHeight="true" outlineLevel="0" collapsed="false">
      <c r="D303" s="20"/>
      <c r="E303" s="20"/>
      <c r="F303" s="20"/>
    </row>
    <row r="304" customFormat="false" ht="12" hidden="false" customHeight="true" outlineLevel="0" collapsed="false">
      <c r="D304" s="20"/>
      <c r="E304" s="20"/>
      <c r="F304" s="20"/>
    </row>
    <row r="305" customFormat="false" ht="12" hidden="false" customHeight="true" outlineLevel="0" collapsed="false">
      <c r="D305" s="20"/>
      <c r="E305" s="20"/>
      <c r="F305" s="20"/>
    </row>
    <row r="306" customFormat="false" ht="12" hidden="false" customHeight="true" outlineLevel="0" collapsed="false">
      <c r="D306" s="20"/>
      <c r="E306" s="20"/>
      <c r="F306" s="20"/>
    </row>
    <row r="307" customFormat="false" ht="12" hidden="false" customHeight="true" outlineLevel="0" collapsed="false">
      <c r="D307" s="20"/>
      <c r="E307" s="20"/>
      <c r="F307" s="20"/>
    </row>
    <row r="308" customFormat="false" ht="12" hidden="false" customHeight="true" outlineLevel="0" collapsed="false">
      <c r="D308" s="20"/>
      <c r="E308" s="20"/>
      <c r="F308" s="20"/>
    </row>
    <row r="309" customFormat="false" ht="12" hidden="false" customHeight="true" outlineLevel="0" collapsed="false">
      <c r="D309" s="20"/>
      <c r="E309" s="20"/>
      <c r="F309" s="20"/>
    </row>
    <row r="310" customFormat="false" ht="12" hidden="false" customHeight="true" outlineLevel="0" collapsed="false">
      <c r="D310" s="20"/>
      <c r="E310" s="20"/>
      <c r="F310" s="20"/>
    </row>
    <row r="311" customFormat="false" ht="12" hidden="false" customHeight="true" outlineLevel="0" collapsed="false">
      <c r="D311" s="20"/>
      <c r="E311" s="20"/>
      <c r="F311" s="20"/>
    </row>
    <row r="312" customFormat="false" ht="12" hidden="false" customHeight="true" outlineLevel="0" collapsed="false">
      <c r="D312" s="20"/>
      <c r="E312" s="20"/>
      <c r="F312" s="20"/>
    </row>
    <row r="313" customFormat="false" ht="12" hidden="false" customHeight="true" outlineLevel="0" collapsed="false">
      <c r="D313" s="20"/>
      <c r="E313" s="20"/>
      <c r="F313" s="20"/>
    </row>
    <row r="314" customFormat="false" ht="12" hidden="false" customHeight="true" outlineLevel="0" collapsed="false">
      <c r="D314" s="20"/>
      <c r="E314" s="20"/>
      <c r="F314" s="20"/>
    </row>
    <row r="315" customFormat="false" ht="12" hidden="false" customHeight="true" outlineLevel="0" collapsed="false">
      <c r="D315" s="20"/>
      <c r="E315" s="20"/>
      <c r="F315" s="20"/>
    </row>
    <row r="316" customFormat="false" ht="12" hidden="false" customHeight="true" outlineLevel="0" collapsed="false">
      <c r="D316" s="20"/>
      <c r="E316" s="20"/>
      <c r="F316" s="20"/>
    </row>
    <row r="317" customFormat="false" ht="12" hidden="false" customHeight="true" outlineLevel="0" collapsed="false">
      <c r="D317" s="20"/>
      <c r="E317" s="20"/>
      <c r="F317" s="20"/>
    </row>
    <row r="318" customFormat="false" ht="12" hidden="false" customHeight="true" outlineLevel="0" collapsed="false">
      <c r="D318" s="20"/>
      <c r="E318" s="20"/>
      <c r="F318" s="20"/>
    </row>
    <row r="319" customFormat="false" ht="12" hidden="false" customHeight="true" outlineLevel="0" collapsed="false">
      <c r="D319" s="20"/>
      <c r="E319" s="20"/>
      <c r="F319" s="20"/>
    </row>
    <row r="320" customFormat="false" ht="12" hidden="false" customHeight="true" outlineLevel="0" collapsed="false">
      <c r="D320" s="20"/>
      <c r="E320" s="20"/>
      <c r="F320" s="20"/>
    </row>
    <row r="321" customFormat="false" ht="12" hidden="false" customHeight="true" outlineLevel="0" collapsed="false">
      <c r="D321" s="20"/>
      <c r="E321" s="20"/>
      <c r="F321" s="20"/>
    </row>
    <row r="322" customFormat="false" ht="12" hidden="false" customHeight="true" outlineLevel="0" collapsed="false">
      <c r="D322" s="20"/>
      <c r="E322" s="20"/>
      <c r="F322" s="20"/>
    </row>
    <row r="323" customFormat="false" ht="12" hidden="false" customHeight="true" outlineLevel="0" collapsed="false">
      <c r="D323" s="20"/>
      <c r="E323" s="20"/>
      <c r="F323" s="20"/>
    </row>
    <row r="324" customFormat="false" ht="12" hidden="false" customHeight="true" outlineLevel="0" collapsed="false">
      <c r="D324" s="20"/>
      <c r="E324" s="20"/>
      <c r="F324" s="20"/>
    </row>
    <row r="325" customFormat="false" ht="12" hidden="false" customHeight="true" outlineLevel="0" collapsed="false">
      <c r="D325" s="20"/>
      <c r="E325" s="20"/>
      <c r="F325" s="20"/>
    </row>
    <row r="326" customFormat="false" ht="12" hidden="false" customHeight="true" outlineLevel="0" collapsed="false">
      <c r="D326" s="20"/>
      <c r="E326" s="20"/>
      <c r="F326" s="20"/>
    </row>
    <row r="327" customFormat="false" ht="12" hidden="false" customHeight="true" outlineLevel="0" collapsed="false">
      <c r="D327" s="20"/>
      <c r="E327" s="20"/>
      <c r="F327" s="20"/>
    </row>
    <row r="328" customFormat="false" ht="12" hidden="false" customHeight="true" outlineLevel="0" collapsed="false">
      <c r="D328" s="20"/>
      <c r="E328" s="20"/>
      <c r="F328" s="20"/>
    </row>
    <row r="329" customFormat="false" ht="12" hidden="false" customHeight="true" outlineLevel="0" collapsed="false">
      <c r="D329" s="20"/>
      <c r="E329" s="20"/>
      <c r="F329" s="20"/>
    </row>
    <row r="330" customFormat="false" ht="12" hidden="false" customHeight="true" outlineLevel="0" collapsed="false">
      <c r="D330" s="20"/>
      <c r="E330" s="20"/>
      <c r="F330" s="20"/>
    </row>
    <row r="331" customFormat="false" ht="12" hidden="false" customHeight="true" outlineLevel="0" collapsed="false">
      <c r="D331" s="20"/>
      <c r="E331" s="20"/>
      <c r="F331" s="20"/>
    </row>
    <row r="332" customFormat="false" ht="12" hidden="false" customHeight="true" outlineLevel="0" collapsed="false">
      <c r="D332" s="20"/>
      <c r="E332" s="20"/>
      <c r="F332" s="20"/>
    </row>
    <row r="333" customFormat="false" ht="12" hidden="false" customHeight="true" outlineLevel="0" collapsed="false">
      <c r="D333" s="20"/>
      <c r="E333" s="20"/>
      <c r="F333" s="20"/>
    </row>
    <row r="334" customFormat="false" ht="12" hidden="false" customHeight="true" outlineLevel="0" collapsed="false">
      <c r="D334" s="20"/>
      <c r="E334" s="20"/>
      <c r="F334" s="20"/>
    </row>
    <row r="335" customFormat="false" ht="12" hidden="false" customHeight="true" outlineLevel="0" collapsed="false">
      <c r="D335" s="20"/>
      <c r="E335" s="20"/>
      <c r="F335" s="20"/>
    </row>
    <row r="336" customFormat="false" ht="12" hidden="false" customHeight="true" outlineLevel="0" collapsed="false">
      <c r="D336" s="20"/>
      <c r="E336" s="20"/>
      <c r="F336" s="20"/>
    </row>
    <row r="337" customFormat="false" ht="12" hidden="false" customHeight="true" outlineLevel="0" collapsed="false">
      <c r="D337" s="20"/>
      <c r="E337" s="20"/>
      <c r="F337" s="20"/>
    </row>
    <row r="338" customFormat="false" ht="12" hidden="false" customHeight="true" outlineLevel="0" collapsed="false">
      <c r="D338" s="20"/>
      <c r="E338" s="20"/>
      <c r="F338" s="20"/>
    </row>
    <row r="339" customFormat="false" ht="12" hidden="false" customHeight="true" outlineLevel="0" collapsed="false">
      <c r="D339" s="20"/>
      <c r="E339" s="20"/>
      <c r="F339" s="20"/>
    </row>
    <row r="340" customFormat="false" ht="12" hidden="false" customHeight="true" outlineLevel="0" collapsed="false">
      <c r="D340" s="20"/>
      <c r="E340" s="20"/>
      <c r="F340" s="20"/>
    </row>
    <row r="341" customFormat="false" ht="12" hidden="false" customHeight="true" outlineLevel="0" collapsed="false">
      <c r="D341" s="20"/>
      <c r="E341" s="20"/>
      <c r="F341" s="20"/>
    </row>
    <row r="342" customFormat="false" ht="12" hidden="false" customHeight="true" outlineLevel="0" collapsed="false">
      <c r="D342" s="20"/>
      <c r="E342" s="20"/>
      <c r="F342" s="20"/>
    </row>
    <row r="343" customFormat="false" ht="12" hidden="false" customHeight="true" outlineLevel="0" collapsed="false">
      <c r="D343" s="20"/>
      <c r="E343" s="20"/>
      <c r="F343" s="20"/>
    </row>
    <row r="344" customFormat="false" ht="12" hidden="false" customHeight="true" outlineLevel="0" collapsed="false">
      <c r="D344" s="20"/>
      <c r="E344" s="20"/>
      <c r="F344" s="20"/>
    </row>
    <row r="345" customFormat="false" ht="12" hidden="false" customHeight="true" outlineLevel="0" collapsed="false">
      <c r="D345" s="20"/>
      <c r="E345" s="20"/>
      <c r="F345" s="20"/>
    </row>
    <row r="346" customFormat="false" ht="12" hidden="false" customHeight="true" outlineLevel="0" collapsed="false">
      <c r="D346" s="20"/>
      <c r="E346" s="20"/>
      <c r="F346" s="20"/>
    </row>
    <row r="347" customFormat="false" ht="12" hidden="false" customHeight="true" outlineLevel="0" collapsed="false">
      <c r="D347" s="20"/>
      <c r="E347" s="20"/>
      <c r="F347" s="20"/>
    </row>
    <row r="348" customFormat="false" ht="12" hidden="false" customHeight="true" outlineLevel="0" collapsed="false">
      <c r="D348" s="20"/>
      <c r="E348" s="20"/>
      <c r="F348" s="20"/>
    </row>
    <row r="349" customFormat="false" ht="12" hidden="false" customHeight="true" outlineLevel="0" collapsed="false">
      <c r="D349" s="20"/>
      <c r="E349" s="20"/>
      <c r="F349" s="20"/>
    </row>
    <row r="350" customFormat="false" ht="12" hidden="false" customHeight="true" outlineLevel="0" collapsed="false">
      <c r="D350" s="20"/>
      <c r="E350" s="20"/>
      <c r="F350" s="20"/>
    </row>
    <row r="351" customFormat="false" ht="12" hidden="false" customHeight="true" outlineLevel="0" collapsed="false">
      <c r="D351" s="20"/>
      <c r="E351" s="20"/>
      <c r="F351" s="20"/>
    </row>
    <row r="352" customFormat="false" ht="12" hidden="false" customHeight="true" outlineLevel="0" collapsed="false">
      <c r="D352" s="20"/>
      <c r="E352" s="20"/>
      <c r="F352" s="20"/>
    </row>
    <row r="353" customFormat="false" ht="12" hidden="false" customHeight="true" outlineLevel="0" collapsed="false">
      <c r="D353" s="20"/>
      <c r="E353" s="20"/>
      <c r="F353" s="20"/>
    </row>
    <row r="354" customFormat="false" ht="12" hidden="false" customHeight="true" outlineLevel="0" collapsed="false">
      <c r="D354" s="20"/>
      <c r="E354" s="20"/>
      <c r="F354" s="20"/>
    </row>
    <row r="355" customFormat="false" ht="12" hidden="false" customHeight="true" outlineLevel="0" collapsed="false">
      <c r="D355" s="20"/>
      <c r="E355" s="20"/>
      <c r="F355" s="20"/>
    </row>
    <row r="356" customFormat="false" ht="12" hidden="false" customHeight="true" outlineLevel="0" collapsed="false">
      <c r="D356" s="20"/>
      <c r="E356" s="20"/>
      <c r="F356" s="20"/>
    </row>
    <row r="357" customFormat="false" ht="12" hidden="false" customHeight="true" outlineLevel="0" collapsed="false">
      <c r="D357" s="20"/>
      <c r="E357" s="20"/>
      <c r="F357" s="20"/>
    </row>
    <row r="358" customFormat="false" ht="12" hidden="false" customHeight="true" outlineLevel="0" collapsed="false">
      <c r="D358" s="20"/>
      <c r="E358" s="20"/>
      <c r="F358" s="20"/>
    </row>
    <row r="359" customFormat="false" ht="12" hidden="false" customHeight="true" outlineLevel="0" collapsed="false">
      <c r="D359" s="20"/>
      <c r="E359" s="20"/>
      <c r="F359" s="20"/>
    </row>
    <row r="360" customFormat="false" ht="12" hidden="false" customHeight="true" outlineLevel="0" collapsed="false">
      <c r="D360" s="20"/>
      <c r="E360" s="20"/>
      <c r="F360" s="20"/>
    </row>
    <row r="361" customFormat="false" ht="12" hidden="false" customHeight="true" outlineLevel="0" collapsed="false">
      <c r="D361" s="20"/>
      <c r="E361" s="20"/>
      <c r="F361" s="20"/>
    </row>
    <row r="362" customFormat="false" ht="12" hidden="false" customHeight="true" outlineLevel="0" collapsed="false">
      <c r="D362" s="20"/>
      <c r="E362" s="20"/>
      <c r="F362" s="20"/>
    </row>
    <row r="363" customFormat="false" ht="12" hidden="false" customHeight="true" outlineLevel="0" collapsed="false">
      <c r="D363" s="20"/>
      <c r="E363" s="20"/>
      <c r="F363" s="20"/>
    </row>
    <row r="364" customFormat="false" ht="12" hidden="false" customHeight="true" outlineLevel="0" collapsed="false">
      <c r="D364" s="20"/>
      <c r="E364" s="20"/>
      <c r="F364" s="20"/>
    </row>
    <row r="365" customFormat="false" ht="12" hidden="false" customHeight="true" outlineLevel="0" collapsed="false">
      <c r="D365" s="20"/>
      <c r="E365" s="20"/>
      <c r="F365" s="20"/>
    </row>
    <row r="366" customFormat="false" ht="12" hidden="false" customHeight="true" outlineLevel="0" collapsed="false">
      <c r="D366" s="20"/>
      <c r="E366" s="20"/>
      <c r="F366" s="20"/>
    </row>
    <row r="367" customFormat="false" ht="12" hidden="false" customHeight="true" outlineLevel="0" collapsed="false">
      <c r="D367" s="20"/>
      <c r="E367" s="20"/>
      <c r="F367" s="20"/>
    </row>
    <row r="368" customFormat="false" ht="12" hidden="false" customHeight="true" outlineLevel="0" collapsed="false">
      <c r="D368" s="20"/>
      <c r="E368" s="20"/>
      <c r="F368" s="20"/>
    </row>
    <row r="369" customFormat="false" ht="12" hidden="false" customHeight="true" outlineLevel="0" collapsed="false">
      <c r="D369" s="20"/>
      <c r="E369" s="20"/>
      <c r="F369" s="20"/>
    </row>
    <row r="370" customFormat="false" ht="12" hidden="false" customHeight="true" outlineLevel="0" collapsed="false">
      <c r="D370" s="20"/>
      <c r="E370" s="20"/>
      <c r="F370" s="20"/>
    </row>
    <row r="371" customFormat="false" ht="12" hidden="false" customHeight="true" outlineLevel="0" collapsed="false">
      <c r="D371" s="20"/>
      <c r="E371" s="20"/>
      <c r="F371" s="20"/>
    </row>
    <row r="372" customFormat="false" ht="12" hidden="false" customHeight="true" outlineLevel="0" collapsed="false">
      <c r="D372" s="20"/>
      <c r="E372" s="20"/>
      <c r="F372" s="20"/>
    </row>
    <row r="373" customFormat="false" ht="12" hidden="false" customHeight="true" outlineLevel="0" collapsed="false">
      <c r="D373" s="20"/>
      <c r="E373" s="20"/>
      <c r="F373" s="20"/>
    </row>
    <row r="374" customFormat="false" ht="12" hidden="false" customHeight="true" outlineLevel="0" collapsed="false">
      <c r="D374" s="20"/>
      <c r="E374" s="20"/>
      <c r="F374" s="20"/>
    </row>
    <row r="375" customFormat="false" ht="12" hidden="false" customHeight="true" outlineLevel="0" collapsed="false">
      <c r="D375" s="20"/>
      <c r="E375" s="20"/>
      <c r="F375" s="20"/>
    </row>
    <row r="376" customFormat="false" ht="12" hidden="false" customHeight="true" outlineLevel="0" collapsed="false">
      <c r="D376" s="20"/>
      <c r="E376" s="20"/>
      <c r="F376" s="20"/>
    </row>
    <row r="377" customFormat="false" ht="12" hidden="false" customHeight="true" outlineLevel="0" collapsed="false">
      <c r="D377" s="20"/>
      <c r="E377" s="20"/>
      <c r="F377" s="20"/>
    </row>
    <row r="378" customFormat="false" ht="12" hidden="false" customHeight="true" outlineLevel="0" collapsed="false">
      <c r="D378" s="20"/>
      <c r="E378" s="20"/>
      <c r="F378" s="20"/>
    </row>
    <row r="379" customFormat="false" ht="12" hidden="false" customHeight="true" outlineLevel="0" collapsed="false">
      <c r="D379" s="20"/>
      <c r="E379" s="20"/>
      <c r="F379" s="20"/>
    </row>
    <row r="380" customFormat="false" ht="12" hidden="false" customHeight="true" outlineLevel="0" collapsed="false">
      <c r="D380" s="20"/>
      <c r="E380" s="20"/>
      <c r="F380" s="20"/>
    </row>
    <row r="381" customFormat="false" ht="12" hidden="false" customHeight="true" outlineLevel="0" collapsed="false">
      <c r="D381" s="20"/>
      <c r="E381" s="20"/>
      <c r="F381" s="20"/>
    </row>
    <row r="382" customFormat="false" ht="12" hidden="false" customHeight="true" outlineLevel="0" collapsed="false">
      <c r="D382" s="20"/>
      <c r="E382" s="20"/>
      <c r="F382" s="20"/>
    </row>
    <row r="383" customFormat="false" ht="12" hidden="false" customHeight="true" outlineLevel="0" collapsed="false">
      <c r="D383" s="20"/>
      <c r="E383" s="20"/>
      <c r="F383" s="20"/>
    </row>
    <row r="384" customFormat="false" ht="12" hidden="false" customHeight="true" outlineLevel="0" collapsed="false">
      <c r="D384" s="20"/>
      <c r="E384" s="20"/>
      <c r="F384" s="20"/>
    </row>
    <row r="385" customFormat="false" ht="12" hidden="false" customHeight="true" outlineLevel="0" collapsed="false">
      <c r="D385" s="20"/>
      <c r="E385" s="20"/>
      <c r="F385" s="20"/>
    </row>
    <row r="386" customFormat="false" ht="12" hidden="false" customHeight="true" outlineLevel="0" collapsed="false">
      <c r="D386" s="20"/>
      <c r="E386" s="20"/>
      <c r="F386" s="20"/>
    </row>
    <row r="387" customFormat="false" ht="12" hidden="false" customHeight="true" outlineLevel="0" collapsed="false">
      <c r="D387" s="20"/>
      <c r="E387" s="20"/>
      <c r="F387" s="20"/>
    </row>
    <row r="388" customFormat="false" ht="12" hidden="false" customHeight="true" outlineLevel="0" collapsed="false">
      <c r="D388" s="20"/>
      <c r="E388" s="20"/>
      <c r="F388" s="20"/>
    </row>
    <row r="389" customFormat="false" ht="12" hidden="false" customHeight="true" outlineLevel="0" collapsed="false">
      <c r="D389" s="20"/>
      <c r="E389" s="20"/>
      <c r="F389" s="20"/>
    </row>
    <row r="390" customFormat="false" ht="12" hidden="false" customHeight="true" outlineLevel="0" collapsed="false">
      <c r="D390" s="20"/>
      <c r="E390" s="20"/>
      <c r="F390" s="20"/>
    </row>
    <row r="391" customFormat="false" ht="12" hidden="false" customHeight="true" outlineLevel="0" collapsed="false">
      <c r="D391" s="20"/>
      <c r="E391" s="20"/>
      <c r="F391" s="20"/>
    </row>
    <row r="392" customFormat="false" ht="12" hidden="false" customHeight="true" outlineLevel="0" collapsed="false">
      <c r="D392" s="20"/>
      <c r="E392" s="20"/>
      <c r="F392" s="20"/>
    </row>
    <row r="393" customFormat="false" ht="12" hidden="false" customHeight="true" outlineLevel="0" collapsed="false">
      <c r="D393" s="20"/>
      <c r="E393" s="20"/>
      <c r="F393" s="20"/>
    </row>
    <row r="394" customFormat="false" ht="12" hidden="false" customHeight="true" outlineLevel="0" collapsed="false">
      <c r="D394" s="20"/>
      <c r="E394" s="20"/>
      <c r="F394" s="20"/>
    </row>
    <row r="395" customFormat="false" ht="12" hidden="false" customHeight="true" outlineLevel="0" collapsed="false">
      <c r="D395" s="20"/>
      <c r="E395" s="20"/>
      <c r="F395" s="20"/>
    </row>
    <row r="396" customFormat="false" ht="12" hidden="false" customHeight="true" outlineLevel="0" collapsed="false">
      <c r="D396" s="20"/>
      <c r="E396" s="20"/>
      <c r="F396" s="20"/>
    </row>
    <row r="397" customFormat="false" ht="12" hidden="false" customHeight="true" outlineLevel="0" collapsed="false">
      <c r="D397" s="20"/>
      <c r="E397" s="20"/>
      <c r="F397" s="20"/>
    </row>
    <row r="398" customFormat="false" ht="12" hidden="false" customHeight="true" outlineLevel="0" collapsed="false">
      <c r="D398" s="20"/>
      <c r="E398" s="20"/>
      <c r="F398" s="20"/>
    </row>
    <row r="399" customFormat="false" ht="12" hidden="false" customHeight="true" outlineLevel="0" collapsed="false">
      <c r="D399" s="20"/>
      <c r="E399" s="20"/>
      <c r="F399" s="20"/>
    </row>
    <row r="400" customFormat="false" ht="12" hidden="false" customHeight="true" outlineLevel="0" collapsed="false">
      <c r="D400" s="20"/>
      <c r="E400" s="20"/>
      <c r="F400" s="20"/>
    </row>
    <row r="401" customFormat="false" ht="12" hidden="false" customHeight="true" outlineLevel="0" collapsed="false">
      <c r="D401" s="20"/>
      <c r="E401" s="20"/>
      <c r="F401" s="20"/>
    </row>
    <row r="402" customFormat="false" ht="12" hidden="false" customHeight="true" outlineLevel="0" collapsed="false">
      <c r="D402" s="20"/>
      <c r="E402" s="20"/>
      <c r="F402" s="20"/>
    </row>
    <row r="403" customFormat="false" ht="12" hidden="false" customHeight="true" outlineLevel="0" collapsed="false">
      <c r="D403" s="20"/>
      <c r="E403" s="20"/>
      <c r="F403" s="20"/>
    </row>
    <row r="404" customFormat="false" ht="12" hidden="false" customHeight="true" outlineLevel="0" collapsed="false">
      <c r="D404" s="20"/>
      <c r="E404" s="20"/>
      <c r="F404" s="20"/>
    </row>
    <row r="405" customFormat="false" ht="12" hidden="false" customHeight="true" outlineLevel="0" collapsed="false">
      <c r="D405" s="20"/>
      <c r="E405" s="20"/>
      <c r="F405" s="20"/>
    </row>
    <row r="406" customFormat="false" ht="12" hidden="false" customHeight="true" outlineLevel="0" collapsed="false">
      <c r="D406" s="20"/>
      <c r="E406" s="20"/>
      <c r="F406" s="20"/>
    </row>
    <row r="407" customFormat="false" ht="12" hidden="false" customHeight="true" outlineLevel="0" collapsed="false">
      <c r="D407" s="20"/>
      <c r="E407" s="20"/>
      <c r="F407" s="20"/>
    </row>
    <row r="408" customFormat="false" ht="12" hidden="false" customHeight="true" outlineLevel="0" collapsed="false">
      <c r="D408" s="20"/>
      <c r="E408" s="20"/>
      <c r="F408" s="20"/>
    </row>
    <row r="409" customFormat="false" ht="12" hidden="false" customHeight="true" outlineLevel="0" collapsed="false">
      <c r="D409" s="20"/>
      <c r="E409" s="20"/>
      <c r="F409" s="20"/>
    </row>
    <row r="410" customFormat="false" ht="12" hidden="false" customHeight="true" outlineLevel="0" collapsed="false">
      <c r="D410" s="20"/>
      <c r="E410" s="20"/>
      <c r="F410" s="20"/>
    </row>
    <row r="411" customFormat="false" ht="12" hidden="false" customHeight="true" outlineLevel="0" collapsed="false">
      <c r="D411" s="20"/>
      <c r="E411" s="20"/>
      <c r="F411" s="20"/>
    </row>
    <row r="412" customFormat="false" ht="12" hidden="false" customHeight="true" outlineLevel="0" collapsed="false">
      <c r="D412" s="20"/>
      <c r="E412" s="20"/>
      <c r="F412" s="20"/>
    </row>
    <row r="413" customFormat="false" ht="12" hidden="false" customHeight="true" outlineLevel="0" collapsed="false">
      <c r="D413" s="20"/>
      <c r="E413" s="20"/>
      <c r="F413" s="20"/>
    </row>
    <row r="414" customFormat="false" ht="12" hidden="false" customHeight="true" outlineLevel="0" collapsed="false">
      <c r="D414" s="20"/>
      <c r="E414" s="20"/>
      <c r="F414" s="20"/>
    </row>
    <row r="415" customFormat="false" ht="12" hidden="false" customHeight="true" outlineLevel="0" collapsed="false">
      <c r="D415" s="20"/>
      <c r="E415" s="20"/>
      <c r="F415" s="20"/>
    </row>
    <row r="416" customFormat="false" ht="12" hidden="false" customHeight="true" outlineLevel="0" collapsed="false">
      <c r="D416" s="20"/>
      <c r="E416" s="20"/>
      <c r="F416" s="20"/>
    </row>
    <row r="417" customFormat="false" ht="12" hidden="false" customHeight="true" outlineLevel="0" collapsed="false">
      <c r="D417" s="20"/>
      <c r="E417" s="20"/>
      <c r="F417" s="20"/>
    </row>
    <row r="418" customFormat="false" ht="12" hidden="false" customHeight="true" outlineLevel="0" collapsed="false">
      <c r="D418" s="20"/>
      <c r="E418" s="20"/>
      <c r="F418" s="20"/>
    </row>
    <row r="419" customFormat="false" ht="12" hidden="false" customHeight="true" outlineLevel="0" collapsed="false">
      <c r="D419" s="20"/>
      <c r="E419" s="20"/>
      <c r="F419" s="20"/>
    </row>
    <row r="420" customFormat="false" ht="12" hidden="false" customHeight="true" outlineLevel="0" collapsed="false">
      <c r="D420" s="20"/>
      <c r="E420" s="20"/>
      <c r="F420" s="20"/>
    </row>
    <row r="421" customFormat="false" ht="12" hidden="false" customHeight="true" outlineLevel="0" collapsed="false">
      <c r="D421" s="20"/>
      <c r="E421" s="20"/>
      <c r="F421" s="20"/>
    </row>
    <row r="422" customFormat="false" ht="12" hidden="false" customHeight="true" outlineLevel="0" collapsed="false">
      <c r="D422" s="20"/>
      <c r="E422" s="20"/>
      <c r="F422" s="20"/>
    </row>
    <row r="423" customFormat="false" ht="12" hidden="false" customHeight="true" outlineLevel="0" collapsed="false">
      <c r="D423" s="20"/>
      <c r="E423" s="20"/>
      <c r="F423" s="20"/>
    </row>
    <row r="424" customFormat="false" ht="12" hidden="false" customHeight="true" outlineLevel="0" collapsed="false">
      <c r="D424" s="20"/>
      <c r="E424" s="20"/>
      <c r="F424" s="20"/>
    </row>
    <row r="425" customFormat="false" ht="12" hidden="false" customHeight="true" outlineLevel="0" collapsed="false">
      <c r="D425" s="20"/>
      <c r="E425" s="20"/>
      <c r="F425" s="20"/>
    </row>
    <row r="426" customFormat="false" ht="12" hidden="false" customHeight="true" outlineLevel="0" collapsed="false">
      <c r="D426" s="20"/>
      <c r="E426" s="20"/>
      <c r="F426" s="20"/>
    </row>
    <row r="427" customFormat="false" ht="12" hidden="false" customHeight="true" outlineLevel="0" collapsed="false">
      <c r="D427" s="20"/>
      <c r="E427" s="20"/>
      <c r="F427" s="20"/>
    </row>
    <row r="428" customFormat="false" ht="12" hidden="false" customHeight="true" outlineLevel="0" collapsed="false">
      <c r="D428" s="20"/>
      <c r="E428" s="20"/>
      <c r="F428" s="20"/>
    </row>
    <row r="429" customFormat="false" ht="12" hidden="false" customHeight="true" outlineLevel="0" collapsed="false">
      <c r="D429" s="20"/>
      <c r="E429" s="20"/>
      <c r="F429" s="20"/>
    </row>
    <row r="430" customFormat="false" ht="12" hidden="false" customHeight="true" outlineLevel="0" collapsed="false">
      <c r="D430" s="20"/>
      <c r="E430" s="20"/>
      <c r="F430" s="20"/>
    </row>
    <row r="431" customFormat="false" ht="12" hidden="false" customHeight="true" outlineLevel="0" collapsed="false">
      <c r="D431" s="20"/>
      <c r="E431" s="20"/>
      <c r="F431" s="20"/>
    </row>
    <row r="432" customFormat="false" ht="12" hidden="false" customHeight="true" outlineLevel="0" collapsed="false">
      <c r="D432" s="20"/>
      <c r="E432" s="20"/>
      <c r="F432" s="20"/>
    </row>
    <row r="433" customFormat="false" ht="12" hidden="false" customHeight="true" outlineLevel="0" collapsed="false">
      <c r="D433" s="20"/>
      <c r="E433" s="20"/>
      <c r="F433" s="20"/>
    </row>
    <row r="434" customFormat="false" ht="12" hidden="false" customHeight="true" outlineLevel="0" collapsed="false">
      <c r="D434" s="20"/>
      <c r="E434" s="20"/>
      <c r="F434" s="20"/>
    </row>
    <row r="435" customFormat="false" ht="12" hidden="false" customHeight="true" outlineLevel="0" collapsed="false">
      <c r="D435" s="20"/>
      <c r="E435" s="20"/>
      <c r="F435" s="20"/>
    </row>
    <row r="436" customFormat="false" ht="12" hidden="false" customHeight="true" outlineLevel="0" collapsed="false">
      <c r="D436" s="20"/>
      <c r="E436" s="20"/>
      <c r="F436" s="20"/>
    </row>
    <row r="437" customFormat="false" ht="12" hidden="false" customHeight="true" outlineLevel="0" collapsed="false">
      <c r="D437" s="20"/>
      <c r="E437" s="20"/>
      <c r="F437" s="20"/>
    </row>
    <row r="438" customFormat="false" ht="12" hidden="false" customHeight="true" outlineLevel="0" collapsed="false">
      <c r="D438" s="20"/>
      <c r="E438" s="20"/>
      <c r="F438" s="20"/>
    </row>
    <row r="439" customFormat="false" ht="12" hidden="false" customHeight="true" outlineLevel="0" collapsed="false">
      <c r="D439" s="20"/>
      <c r="E439" s="20"/>
      <c r="F439" s="20"/>
    </row>
    <row r="440" customFormat="false" ht="12" hidden="false" customHeight="true" outlineLevel="0" collapsed="false">
      <c r="D440" s="20"/>
      <c r="E440" s="20"/>
      <c r="F440" s="20"/>
    </row>
    <row r="441" customFormat="false" ht="12" hidden="false" customHeight="true" outlineLevel="0" collapsed="false">
      <c r="D441" s="20"/>
      <c r="E441" s="20"/>
      <c r="F441" s="20"/>
    </row>
    <row r="442" customFormat="false" ht="12" hidden="false" customHeight="true" outlineLevel="0" collapsed="false">
      <c r="D442" s="20"/>
      <c r="E442" s="20"/>
      <c r="F442" s="20"/>
    </row>
    <row r="443" customFormat="false" ht="12" hidden="false" customHeight="true" outlineLevel="0" collapsed="false">
      <c r="D443" s="20"/>
      <c r="E443" s="20"/>
      <c r="F443" s="20"/>
    </row>
    <row r="444" customFormat="false" ht="12" hidden="false" customHeight="true" outlineLevel="0" collapsed="false">
      <c r="D444" s="20"/>
      <c r="E444" s="20"/>
      <c r="F444" s="20"/>
    </row>
    <row r="445" customFormat="false" ht="12" hidden="false" customHeight="true" outlineLevel="0" collapsed="false">
      <c r="D445" s="20"/>
      <c r="E445" s="20"/>
      <c r="F445" s="20"/>
    </row>
    <row r="446" customFormat="false" ht="12" hidden="false" customHeight="true" outlineLevel="0" collapsed="false">
      <c r="D446" s="20"/>
      <c r="E446" s="20"/>
      <c r="F446" s="20"/>
    </row>
    <row r="447" customFormat="false" ht="12" hidden="false" customHeight="true" outlineLevel="0" collapsed="false">
      <c r="D447" s="20"/>
      <c r="E447" s="20"/>
      <c r="F447" s="20"/>
    </row>
    <row r="448" customFormat="false" ht="12" hidden="false" customHeight="true" outlineLevel="0" collapsed="false">
      <c r="D448" s="20"/>
      <c r="E448" s="20"/>
      <c r="F448" s="20"/>
    </row>
    <row r="449" customFormat="false" ht="12" hidden="false" customHeight="true" outlineLevel="0" collapsed="false">
      <c r="D449" s="20"/>
      <c r="E449" s="20"/>
      <c r="F449" s="20"/>
    </row>
    <row r="450" customFormat="false" ht="12" hidden="false" customHeight="true" outlineLevel="0" collapsed="false">
      <c r="D450" s="20"/>
      <c r="E450" s="20"/>
      <c r="F450" s="20"/>
    </row>
    <row r="451" customFormat="false" ht="12" hidden="false" customHeight="true" outlineLevel="0" collapsed="false">
      <c r="D451" s="20"/>
      <c r="E451" s="20"/>
      <c r="F451" s="20"/>
    </row>
    <row r="452" customFormat="false" ht="12" hidden="false" customHeight="true" outlineLevel="0" collapsed="false">
      <c r="D452" s="20"/>
      <c r="E452" s="20"/>
      <c r="F452" s="20"/>
    </row>
    <row r="453" customFormat="false" ht="12" hidden="false" customHeight="true" outlineLevel="0" collapsed="false">
      <c r="D453" s="20"/>
      <c r="E453" s="20"/>
      <c r="F453" s="20"/>
    </row>
    <row r="454" customFormat="false" ht="12" hidden="false" customHeight="true" outlineLevel="0" collapsed="false">
      <c r="D454" s="20"/>
      <c r="E454" s="20"/>
      <c r="F454" s="20"/>
    </row>
    <row r="455" customFormat="false" ht="12" hidden="false" customHeight="true" outlineLevel="0" collapsed="false">
      <c r="D455" s="20"/>
      <c r="E455" s="20"/>
      <c r="F455" s="20"/>
    </row>
    <row r="456" customFormat="false" ht="12" hidden="false" customHeight="true" outlineLevel="0" collapsed="false">
      <c r="D456" s="20"/>
      <c r="E456" s="20"/>
      <c r="F456" s="20"/>
    </row>
    <row r="457" customFormat="false" ht="12" hidden="false" customHeight="true" outlineLevel="0" collapsed="false">
      <c r="D457" s="20"/>
      <c r="E457" s="20"/>
      <c r="F457" s="20"/>
    </row>
    <row r="458" customFormat="false" ht="12" hidden="false" customHeight="true" outlineLevel="0" collapsed="false">
      <c r="D458" s="20"/>
      <c r="E458" s="20"/>
      <c r="F458" s="20"/>
    </row>
    <row r="459" customFormat="false" ht="12" hidden="false" customHeight="true" outlineLevel="0" collapsed="false">
      <c r="D459" s="20"/>
      <c r="E459" s="20"/>
      <c r="F459" s="20"/>
    </row>
    <row r="460" customFormat="false" ht="12" hidden="false" customHeight="true" outlineLevel="0" collapsed="false">
      <c r="D460" s="20"/>
      <c r="E460" s="20"/>
      <c r="F460" s="20"/>
    </row>
    <row r="461" customFormat="false" ht="12" hidden="false" customHeight="true" outlineLevel="0" collapsed="false">
      <c r="D461" s="20"/>
      <c r="E461" s="20"/>
      <c r="F461" s="20"/>
    </row>
    <row r="462" customFormat="false" ht="12" hidden="false" customHeight="true" outlineLevel="0" collapsed="false">
      <c r="D462" s="20"/>
      <c r="E462" s="20"/>
      <c r="F462" s="20"/>
    </row>
    <row r="463" customFormat="false" ht="12" hidden="false" customHeight="true" outlineLevel="0" collapsed="false">
      <c r="D463" s="20"/>
      <c r="E463" s="20"/>
      <c r="F463" s="20"/>
    </row>
    <row r="464" customFormat="false" ht="12" hidden="false" customHeight="true" outlineLevel="0" collapsed="false">
      <c r="D464" s="20"/>
      <c r="E464" s="20"/>
      <c r="F464" s="20"/>
    </row>
    <row r="465" customFormat="false" ht="12" hidden="false" customHeight="true" outlineLevel="0" collapsed="false">
      <c r="D465" s="20"/>
      <c r="E465" s="20"/>
      <c r="F465" s="20"/>
    </row>
    <row r="466" customFormat="false" ht="12" hidden="false" customHeight="true" outlineLevel="0" collapsed="false">
      <c r="D466" s="20"/>
      <c r="E466" s="20"/>
      <c r="F466" s="20"/>
    </row>
    <row r="467" customFormat="false" ht="12" hidden="false" customHeight="true" outlineLevel="0" collapsed="false">
      <c r="D467" s="20"/>
      <c r="E467" s="20"/>
      <c r="F467" s="20"/>
    </row>
    <row r="468" customFormat="false" ht="12" hidden="false" customHeight="true" outlineLevel="0" collapsed="false">
      <c r="D468" s="20"/>
      <c r="E468" s="20"/>
      <c r="F468" s="20"/>
    </row>
    <row r="469" customFormat="false" ht="12" hidden="false" customHeight="true" outlineLevel="0" collapsed="false">
      <c r="D469" s="20"/>
      <c r="E469" s="20"/>
      <c r="F469" s="20"/>
    </row>
    <row r="470" customFormat="false" ht="12" hidden="false" customHeight="true" outlineLevel="0" collapsed="false">
      <c r="D470" s="20"/>
      <c r="E470" s="20"/>
      <c r="F470" s="20"/>
    </row>
    <row r="471" customFormat="false" ht="12" hidden="false" customHeight="true" outlineLevel="0" collapsed="false">
      <c r="D471" s="20"/>
      <c r="E471" s="20"/>
      <c r="F471" s="20"/>
    </row>
    <row r="472" customFormat="false" ht="12" hidden="false" customHeight="true" outlineLevel="0" collapsed="false">
      <c r="D472" s="20"/>
      <c r="E472" s="20"/>
      <c r="F472" s="20"/>
    </row>
    <row r="473" customFormat="false" ht="12" hidden="false" customHeight="true" outlineLevel="0" collapsed="false">
      <c r="D473" s="20"/>
      <c r="E473" s="20"/>
      <c r="F473" s="20"/>
    </row>
    <row r="474" customFormat="false" ht="12" hidden="false" customHeight="true" outlineLevel="0" collapsed="false">
      <c r="D474" s="20"/>
      <c r="E474" s="20"/>
      <c r="F474" s="20"/>
    </row>
    <row r="475" customFormat="false" ht="12" hidden="false" customHeight="true" outlineLevel="0" collapsed="false">
      <c r="D475" s="20"/>
      <c r="E475" s="20"/>
      <c r="F475" s="20"/>
    </row>
    <row r="476" customFormat="false" ht="12" hidden="false" customHeight="true" outlineLevel="0" collapsed="false">
      <c r="D476" s="20"/>
      <c r="E476" s="20"/>
      <c r="F476" s="20"/>
    </row>
    <row r="477" customFormat="false" ht="12" hidden="false" customHeight="true" outlineLevel="0" collapsed="false">
      <c r="D477" s="20"/>
      <c r="E477" s="20"/>
      <c r="F477" s="20"/>
    </row>
    <row r="478" customFormat="false" ht="12" hidden="false" customHeight="true" outlineLevel="0" collapsed="false">
      <c r="D478" s="20"/>
      <c r="E478" s="20"/>
      <c r="F478" s="20"/>
    </row>
    <row r="479" customFormat="false" ht="12" hidden="false" customHeight="true" outlineLevel="0" collapsed="false">
      <c r="D479" s="20"/>
      <c r="E479" s="20"/>
      <c r="F479" s="20"/>
    </row>
    <row r="480" customFormat="false" ht="12" hidden="false" customHeight="true" outlineLevel="0" collapsed="false">
      <c r="D480" s="20"/>
      <c r="E480" s="20"/>
      <c r="F480" s="20"/>
    </row>
    <row r="481" customFormat="false" ht="12" hidden="false" customHeight="true" outlineLevel="0" collapsed="false">
      <c r="D481" s="20"/>
      <c r="E481" s="20"/>
      <c r="F481" s="20"/>
    </row>
    <row r="482" customFormat="false" ht="12" hidden="false" customHeight="true" outlineLevel="0" collapsed="false">
      <c r="D482" s="20"/>
      <c r="E482" s="20"/>
      <c r="F482" s="20"/>
    </row>
    <row r="483" customFormat="false" ht="12" hidden="false" customHeight="true" outlineLevel="0" collapsed="false">
      <c r="D483" s="20"/>
      <c r="E483" s="20"/>
      <c r="F483" s="20"/>
    </row>
    <row r="484" customFormat="false" ht="12" hidden="false" customHeight="true" outlineLevel="0" collapsed="false">
      <c r="D484" s="20"/>
      <c r="E484" s="20"/>
      <c r="F484" s="20"/>
    </row>
    <row r="485" customFormat="false" ht="12" hidden="false" customHeight="true" outlineLevel="0" collapsed="false">
      <c r="D485" s="20"/>
      <c r="E485" s="20"/>
      <c r="F485" s="20"/>
    </row>
    <row r="486" customFormat="false" ht="12" hidden="false" customHeight="true" outlineLevel="0" collapsed="false">
      <c r="D486" s="20"/>
      <c r="E486" s="20"/>
      <c r="F486" s="20"/>
    </row>
    <row r="487" customFormat="false" ht="12" hidden="false" customHeight="true" outlineLevel="0" collapsed="false">
      <c r="D487" s="20"/>
      <c r="E487" s="20"/>
      <c r="F487" s="20"/>
    </row>
    <row r="488" customFormat="false" ht="12" hidden="false" customHeight="true" outlineLevel="0" collapsed="false">
      <c r="D488" s="20"/>
      <c r="E488" s="20"/>
      <c r="F488" s="20"/>
    </row>
    <row r="489" customFormat="false" ht="12" hidden="false" customHeight="true" outlineLevel="0" collapsed="false">
      <c r="D489" s="20"/>
      <c r="E489" s="20"/>
      <c r="F489" s="20"/>
    </row>
    <row r="490" customFormat="false" ht="12" hidden="false" customHeight="true" outlineLevel="0" collapsed="false">
      <c r="D490" s="20"/>
      <c r="E490" s="20"/>
      <c r="F490" s="20"/>
    </row>
    <row r="491" customFormat="false" ht="12" hidden="false" customHeight="true" outlineLevel="0" collapsed="false">
      <c r="D491" s="20"/>
      <c r="E491" s="20"/>
      <c r="F491" s="20"/>
    </row>
    <row r="492" customFormat="false" ht="12" hidden="false" customHeight="true" outlineLevel="0" collapsed="false">
      <c r="D492" s="20"/>
      <c r="E492" s="20"/>
      <c r="F492" s="20"/>
    </row>
    <row r="493" customFormat="false" ht="12" hidden="false" customHeight="true" outlineLevel="0" collapsed="false">
      <c r="D493" s="20"/>
      <c r="E493" s="20"/>
      <c r="F493" s="20"/>
    </row>
    <row r="494" customFormat="false" ht="12" hidden="false" customHeight="true" outlineLevel="0" collapsed="false">
      <c r="D494" s="20"/>
      <c r="E494" s="20"/>
      <c r="F494" s="20"/>
    </row>
    <row r="495" customFormat="false" ht="12" hidden="false" customHeight="true" outlineLevel="0" collapsed="false">
      <c r="D495" s="20"/>
      <c r="E495" s="20"/>
      <c r="F495" s="20"/>
    </row>
    <row r="496" customFormat="false" ht="12" hidden="false" customHeight="true" outlineLevel="0" collapsed="false">
      <c r="D496" s="20"/>
      <c r="E496" s="20"/>
      <c r="F496" s="20"/>
    </row>
    <row r="497" customFormat="false" ht="12" hidden="false" customHeight="true" outlineLevel="0" collapsed="false">
      <c r="D497" s="20"/>
      <c r="E497" s="20"/>
      <c r="F497" s="20"/>
    </row>
    <row r="498" customFormat="false" ht="12" hidden="false" customHeight="true" outlineLevel="0" collapsed="false">
      <c r="D498" s="20"/>
      <c r="E498" s="20"/>
      <c r="F498" s="20"/>
    </row>
    <row r="499" customFormat="false" ht="12" hidden="false" customHeight="true" outlineLevel="0" collapsed="false">
      <c r="D499" s="20"/>
      <c r="E499" s="20"/>
      <c r="F499" s="20"/>
    </row>
    <row r="500" customFormat="false" ht="12" hidden="false" customHeight="true" outlineLevel="0" collapsed="false">
      <c r="D500" s="20"/>
      <c r="E500" s="20"/>
      <c r="F500" s="20"/>
    </row>
    <row r="501" customFormat="false" ht="12" hidden="false" customHeight="true" outlineLevel="0" collapsed="false">
      <c r="D501" s="20"/>
      <c r="E501" s="20"/>
      <c r="F501" s="20"/>
    </row>
    <row r="502" customFormat="false" ht="12" hidden="false" customHeight="true" outlineLevel="0" collapsed="false">
      <c r="D502" s="20"/>
      <c r="E502" s="20"/>
      <c r="F502" s="20"/>
    </row>
    <row r="503" customFormat="false" ht="12" hidden="false" customHeight="true" outlineLevel="0" collapsed="false">
      <c r="D503" s="20"/>
      <c r="E503" s="20"/>
      <c r="F503" s="20"/>
    </row>
    <row r="504" customFormat="false" ht="12" hidden="false" customHeight="true" outlineLevel="0" collapsed="false">
      <c r="D504" s="20"/>
      <c r="E504" s="20"/>
      <c r="F504" s="20"/>
    </row>
    <row r="505" customFormat="false" ht="12" hidden="false" customHeight="true" outlineLevel="0" collapsed="false">
      <c r="D505" s="20"/>
      <c r="E505" s="20"/>
      <c r="F505" s="20"/>
    </row>
    <row r="506" customFormat="false" ht="12" hidden="false" customHeight="true" outlineLevel="0" collapsed="false">
      <c r="D506" s="20"/>
      <c r="E506" s="20"/>
      <c r="F506" s="20"/>
    </row>
    <row r="507" customFormat="false" ht="12" hidden="false" customHeight="true" outlineLevel="0" collapsed="false">
      <c r="D507" s="20"/>
      <c r="E507" s="20"/>
      <c r="F507" s="20"/>
    </row>
    <row r="508" customFormat="false" ht="12" hidden="false" customHeight="true" outlineLevel="0" collapsed="false">
      <c r="D508" s="20"/>
      <c r="E508" s="20"/>
      <c r="F508" s="20"/>
    </row>
    <row r="509" customFormat="false" ht="12" hidden="false" customHeight="true" outlineLevel="0" collapsed="false">
      <c r="D509" s="20"/>
      <c r="E509" s="20"/>
      <c r="F509" s="20"/>
    </row>
    <row r="510" customFormat="false" ht="12" hidden="false" customHeight="true" outlineLevel="0" collapsed="false">
      <c r="D510" s="20"/>
      <c r="E510" s="20"/>
      <c r="F510" s="20"/>
    </row>
    <row r="511" customFormat="false" ht="12" hidden="false" customHeight="true" outlineLevel="0" collapsed="false">
      <c r="D511" s="20"/>
      <c r="E511" s="20"/>
      <c r="F511" s="20"/>
    </row>
    <row r="512" customFormat="false" ht="12" hidden="false" customHeight="true" outlineLevel="0" collapsed="false">
      <c r="D512" s="20"/>
      <c r="E512" s="20"/>
      <c r="F512" s="20"/>
    </row>
    <row r="513" customFormat="false" ht="12" hidden="false" customHeight="true" outlineLevel="0" collapsed="false">
      <c r="D513" s="20"/>
      <c r="E513" s="20"/>
      <c r="F513" s="20"/>
    </row>
    <row r="514" customFormat="false" ht="12" hidden="false" customHeight="true" outlineLevel="0" collapsed="false">
      <c r="D514" s="20"/>
      <c r="E514" s="20"/>
      <c r="F514" s="20"/>
    </row>
    <row r="515" customFormat="false" ht="12" hidden="false" customHeight="true" outlineLevel="0" collapsed="false">
      <c r="D515" s="20"/>
      <c r="E515" s="20"/>
      <c r="F515" s="20"/>
    </row>
    <row r="516" customFormat="false" ht="12" hidden="false" customHeight="true" outlineLevel="0" collapsed="false">
      <c r="D516" s="20"/>
      <c r="E516" s="20"/>
      <c r="F516" s="20"/>
    </row>
    <row r="517" customFormat="false" ht="12" hidden="false" customHeight="true" outlineLevel="0" collapsed="false">
      <c r="D517" s="20"/>
      <c r="E517" s="20"/>
      <c r="F517" s="20"/>
    </row>
    <row r="518" customFormat="false" ht="12" hidden="false" customHeight="true" outlineLevel="0" collapsed="false">
      <c r="D518" s="20"/>
      <c r="E518" s="20"/>
      <c r="F518" s="20"/>
    </row>
    <row r="519" customFormat="false" ht="12" hidden="false" customHeight="true" outlineLevel="0" collapsed="false">
      <c r="D519" s="20"/>
      <c r="E519" s="20"/>
      <c r="F519" s="20"/>
    </row>
    <row r="520" customFormat="false" ht="12" hidden="false" customHeight="true" outlineLevel="0" collapsed="false">
      <c r="D520" s="20"/>
      <c r="E520" s="20"/>
      <c r="F520" s="20"/>
    </row>
    <row r="521" customFormat="false" ht="12" hidden="false" customHeight="true" outlineLevel="0" collapsed="false">
      <c r="D521" s="20"/>
      <c r="E521" s="20"/>
      <c r="F521" s="20"/>
    </row>
    <row r="522" customFormat="false" ht="12" hidden="false" customHeight="true" outlineLevel="0" collapsed="false">
      <c r="D522" s="20"/>
      <c r="E522" s="20"/>
      <c r="F522" s="20"/>
    </row>
    <row r="523" customFormat="false" ht="12" hidden="false" customHeight="true" outlineLevel="0" collapsed="false">
      <c r="D523" s="20"/>
      <c r="E523" s="20"/>
      <c r="F523" s="20"/>
    </row>
    <row r="524" customFormat="false" ht="12" hidden="false" customHeight="true" outlineLevel="0" collapsed="false">
      <c r="D524" s="20"/>
      <c r="E524" s="20"/>
      <c r="F524" s="20"/>
    </row>
    <row r="525" customFormat="false" ht="12" hidden="false" customHeight="true" outlineLevel="0" collapsed="false">
      <c r="D525" s="20"/>
      <c r="E525" s="20"/>
      <c r="F525" s="20"/>
    </row>
    <row r="526" customFormat="false" ht="12" hidden="false" customHeight="true" outlineLevel="0" collapsed="false">
      <c r="D526" s="20"/>
      <c r="E526" s="20"/>
      <c r="F526" s="20"/>
    </row>
    <row r="527" customFormat="false" ht="12" hidden="false" customHeight="true" outlineLevel="0" collapsed="false">
      <c r="D527" s="20"/>
      <c r="E527" s="20"/>
      <c r="F527" s="20"/>
    </row>
    <row r="528" customFormat="false" ht="12" hidden="false" customHeight="true" outlineLevel="0" collapsed="false">
      <c r="D528" s="20"/>
      <c r="E528" s="20"/>
      <c r="F528" s="20"/>
    </row>
    <row r="529" customFormat="false" ht="12" hidden="false" customHeight="true" outlineLevel="0" collapsed="false">
      <c r="D529" s="20"/>
      <c r="E529" s="20"/>
      <c r="F529" s="20"/>
    </row>
    <row r="530" customFormat="false" ht="12" hidden="false" customHeight="true" outlineLevel="0" collapsed="false">
      <c r="D530" s="20"/>
      <c r="E530" s="20"/>
      <c r="F530" s="20"/>
    </row>
    <row r="531" customFormat="false" ht="12" hidden="false" customHeight="true" outlineLevel="0" collapsed="false">
      <c r="D531" s="20"/>
      <c r="E531" s="20"/>
      <c r="F531" s="20"/>
    </row>
    <row r="532" customFormat="false" ht="12" hidden="false" customHeight="true" outlineLevel="0" collapsed="false">
      <c r="D532" s="20"/>
      <c r="E532" s="20"/>
      <c r="F532" s="20"/>
    </row>
    <row r="533" customFormat="false" ht="12" hidden="false" customHeight="true" outlineLevel="0" collapsed="false">
      <c r="D533" s="20"/>
      <c r="E533" s="20"/>
      <c r="F533" s="20"/>
    </row>
    <row r="534" customFormat="false" ht="12" hidden="false" customHeight="true" outlineLevel="0" collapsed="false">
      <c r="D534" s="20"/>
      <c r="E534" s="20"/>
      <c r="F534" s="20"/>
    </row>
    <row r="535" customFormat="false" ht="12" hidden="false" customHeight="true" outlineLevel="0" collapsed="false">
      <c r="D535" s="20"/>
      <c r="E535" s="20"/>
      <c r="F535" s="20"/>
    </row>
    <row r="536" customFormat="false" ht="12" hidden="false" customHeight="true" outlineLevel="0" collapsed="false">
      <c r="D536" s="20"/>
      <c r="E536" s="20"/>
      <c r="F536" s="20"/>
    </row>
    <row r="537" customFormat="false" ht="12" hidden="false" customHeight="true" outlineLevel="0" collapsed="false">
      <c r="D537" s="20"/>
      <c r="E537" s="20"/>
      <c r="F537" s="20"/>
    </row>
    <row r="538" customFormat="false" ht="12" hidden="false" customHeight="true" outlineLevel="0" collapsed="false">
      <c r="D538" s="20"/>
      <c r="E538" s="20"/>
      <c r="F538" s="20"/>
    </row>
    <row r="539" customFormat="false" ht="12" hidden="false" customHeight="true" outlineLevel="0" collapsed="false">
      <c r="D539" s="20"/>
      <c r="E539" s="20"/>
      <c r="F539" s="20"/>
    </row>
    <row r="540" customFormat="false" ht="12" hidden="false" customHeight="true" outlineLevel="0" collapsed="false">
      <c r="D540" s="20"/>
      <c r="E540" s="20"/>
      <c r="F540" s="20"/>
    </row>
    <row r="541" customFormat="false" ht="12" hidden="false" customHeight="true" outlineLevel="0" collapsed="false">
      <c r="D541" s="20"/>
      <c r="E541" s="20"/>
      <c r="F541" s="20"/>
    </row>
    <row r="542" customFormat="false" ht="12" hidden="false" customHeight="true" outlineLevel="0" collapsed="false">
      <c r="D542" s="20"/>
      <c r="E542" s="20"/>
      <c r="F542" s="20"/>
    </row>
    <row r="543" customFormat="false" ht="12" hidden="false" customHeight="true" outlineLevel="0" collapsed="false">
      <c r="D543" s="20"/>
      <c r="E543" s="20"/>
      <c r="F543" s="20"/>
    </row>
    <row r="544" customFormat="false" ht="12" hidden="false" customHeight="true" outlineLevel="0" collapsed="false">
      <c r="D544" s="20"/>
      <c r="E544" s="20"/>
      <c r="F544" s="20"/>
    </row>
    <row r="545" customFormat="false" ht="12" hidden="false" customHeight="true" outlineLevel="0" collapsed="false">
      <c r="D545" s="20"/>
      <c r="E545" s="20"/>
      <c r="F545" s="20"/>
    </row>
    <row r="546" customFormat="false" ht="12" hidden="false" customHeight="true" outlineLevel="0" collapsed="false">
      <c r="D546" s="20"/>
      <c r="E546" s="20"/>
      <c r="F546" s="20"/>
    </row>
    <row r="547" customFormat="false" ht="12" hidden="false" customHeight="true" outlineLevel="0" collapsed="false">
      <c r="D547" s="20"/>
      <c r="E547" s="20"/>
      <c r="F547" s="20"/>
    </row>
    <row r="548" customFormat="false" ht="12" hidden="false" customHeight="true" outlineLevel="0" collapsed="false">
      <c r="D548" s="20"/>
      <c r="E548" s="20"/>
      <c r="F548" s="20"/>
    </row>
    <row r="549" customFormat="false" ht="12" hidden="false" customHeight="true" outlineLevel="0" collapsed="false">
      <c r="D549" s="20"/>
      <c r="E549" s="20"/>
      <c r="F549" s="20"/>
    </row>
    <row r="550" customFormat="false" ht="12" hidden="false" customHeight="true" outlineLevel="0" collapsed="false">
      <c r="D550" s="20"/>
      <c r="E550" s="20"/>
      <c r="F550" s="20"/>
    </row>
    <row r="551" customFormat="false" ht="12" hidden="false" customHeight="true" outlineLevel="0" collapsed="false">
      <c r="D551" s="20"/>
      <c r="E551" s="20"/>
      <c r="F551" s="20"/>
    </row>
    <row r="552" customFormat="false" ht="12" hidden="false" customHeight="true" outlineLevel="0" collapsed="false">
      <c r="D552" s="20"/>
      <c r="E552" s="20"/>
      <c r="F552" s="20"/>
    </row>
    <row r="553" customFormat="false" ht="12" hidden="false" customHeight="true" outlineLevel="0" collapsed="false">
      <c r="D553" s="20"/>
      <c r="E553" s="20"/>
      <c r="F553" s="20"/>
    </row>
    <row r="554" customFormat="false" ht="12" hidden="false" customHeight="true" outlineLevel="0" collapsed="false">
      <c r="D554" s="20"/>
      <c r="E554" s="20"/>
      <c r="F554" s="20"/>
    </row>
    <row r="555" customFormat="false" ht="12" hidden="false" customHeight="true" outlineLevel="0" collapsed="false">
      <c r="D555" s="20"/>
      <c r="E555" s="20"/>
      <c r="F555" s="20"/>
    </row>
    <row r="556" customFormat="false" ht="12" hidden="false" customHeight="true" outlineLevel="0" collapsed="false">
      <c r="D556" s="20"/>
      <c r="E556" s="20"/>
      <c r="F556" s="20"/>
    </row>
    <row r="557" customFormat="false" ht="12" hidden="false" customHeight="true" outlineLevel="0" collapsed="false">
      <c r="D557" s="20"/>
      <c r="E557" s="20"/>
      <c r="F557" s="20"/>
    </row>
    <row r="558" customFormat="false" ht="12" hidden="false" customHeight="true" outlineLevel="0" collapsed="false">
      <c r="D558" s="20"/>
      <c r="E558" s="20"/>
      <c r="F558" s="20"/>
    </row>
    <row r="559" customFormat="false" ht="12" hidden="false" customHeight="true" outlineLevel="0" collapsed="false">
      <c r="D559" s="20"/>
      <c r="E559" s="20"/>
      <c r="F559" s="20"/>
    </row>
    <row r="560" customFormat="false" ht="12" hidden="false" customHeight="true" outlineLevel="0" collapsed="false">
      <c r="D560" s="20"/>
      <c r="E560" s="20"/>
      <c r="F560" s="20"/>
    </row>
    <row r="561" customFormat="false" ht="12" hidden="false" customHeight="true" outlineLevel="0" collapsed="false">
      <c r="D561" s="20"/>
      <c r="E561" s="20"/>
      <c r="F561" s="20"/>
    </row>
    <row r="562" customFormat="false" ht="12" hidden="false" customHeight="true" outlineLevel="0" collapsed="false">
      <c r="D562" s="20"/>
      <c r="E562" s="20"/>
      <c r="F562" s="20"/>
    </row>
    <row r="563" customFormat="false" ht="12" hidden="false" customHeight="true" outlineLevel="0" collapsed="false">
      <c r="D563" s="20"/>
      <c r="E563" s="20"/>
      <c r="F563" s="20"/>
    </row>
    <row r="564" customFormat="false" ht="12" hidden="false" customHeight="true" outlineLevel="0" collapsed="false">
      <c r="D564" s="20"/>
      <c r="E564" s="20"/>
      <c r="F564" s="20"/>
    </row>
    <row r="565" customFormat="false" ht="12" hidden="false" customHeight="true" outlineLevel="0" collapsed="false">
      <c r="D565" s="20"/>
      <c r="E565" s="20"/>
      <c r="F565" s="20"/>
    </row>
    <row r="566" customFormat="false" ht="12" hidden="false" customHeight="true" outlineLevel="0" collapsed="false">
      <c r="D566" s="20"/>
      <c r="E566" s="20"/>
      <c r="F566" s="20"/>
    </row>
    <row r="567" customFormat="false" ht="12" hidden="false" customHeight="true" outlineLevel="0" collapsed="false">
      <c r="D567" s="20"/>
      <c r="E567" s="20"/>
      <c r="F567" s="20"/>
    </row>
    <row r="568" customFormat="false" ht="12" hidden="false" customHeight="true" outlineLevel="0" collapsed="false">
      <c r="D568" s="20"/>
      <c r="E568" s="20"/>
      <c r="F568" s="20"/>
    </row>
    <row r="569" customFormat="false" ht="12" hidden="false" customHeight="true" outlineLevel="0" collapsed="false">
      <c r="D569" s="20"/>
      <c r="E569" s="20"/>
      <c r="F569" s="20"/>
    </row>
    <row r="570" customFormat="false" ht="12" hidden="false" customHeight="true" outlineLevel="0" collapsed="false">
      <c r="D570" s="20"/>
      <c r="E570" s="20"/>
      <c r="F570" s="20"/>
    </row>
    <row r="571" customFormat="false" ht="12" hidden="false" customHeight="true" outlineLevel="0" collapsed="false">
      <c r="D571" s="20"/>
      <c r="E571" s="20"/>
      <c r="F571" s="20"/>
    </row>
    <row r="572" customFormat="false" ht="12" hidden="false" customHeight="true" outlineLevel="0" collapsed="false">
      <c r="D572" s="20"/>
      <c r="E572" s="20"/>
      <c r="F572" s="20"/>
    </row>
    <row r="573" customFormat="false" ht="12" hidden="false" customHeight="true" outlineLevel="0" collapsed="false">
      <c r="D573" s="20"/>
      <c r="E573" s="20"/>
      <c r="F573" s="20"/>
    </row>
    <row r="574" customFormat="false" ht="12" hidden="false" customHeight="true" outlineLevel="0" collapsed="false">
      <c r="D574" s="20"/>
      <c r="E574" s="20"/>
      <c r="F574" s="20"/>
    </row>
    <row r="575" customFormat="false" ht="12" hidden="false" customHeight="true" outlineLevel="0" collapsed="false">
      <c r="D575" s="20"/>
      <c r="E575" s="20"/>
      <c r="F575" s="20"/>
    </row>
    <row r="576" customFormat="false" ht="12" hidden="false" customHeight="true" outlineLevel="0" collapsed="false">
      <c r="D576" s="20"/>
      <c r="E576" s="20"/>
      <c r="F576" s="20"/>
    </row>
    <row r="577" customFormat="false" ht="12" hidden="false" customHeight="true" outlineLevel="0" collapsed="false">
      <c r="D577" s="20"/>
      <c r="E577" s="20"/>
      <c r="F577" s="20"/>
    </row>
    <row r="578" customFormat="false" ht="12" hidden="false" customHeight="true" outlineLevel="0" collapsed="false">
      <c r="D578" s="20"/>
      <c r="E578" s="20"/>
      <c r="F578" s="20"/>
    </row>
    <row r="579" customFormat="false" ht="12" hidden="false" customHeight="true" outlineLevel="0" collapsed="false">
      <c r="D579" s="20"/>
      <c r="E579" s="20"/>
      <c r="F579" s="20"/>
    </row>
    <row r="580" customFormat="false" ht="12" hidden="false" customHeight="true" outlineLevel="0" collapsed="false">
      <c r="D580" s="20"/>
      <c r="E580" s="20"/>
      <c r="F580" s="20"/>
    </row>
    <row r="581" customFormat="false" ht="12" hidden="false" customHeight="true" outlineLevel="0" collapsed="false">
      <c r="D581" s="20"/>
      <c r="E581" s="20"/>
      <c r="F581" s="20"/>
    </row>
    <row r="582" customFormat="false" ht="12" hidden="false" customHeight="true" outlineLevel="0" collapsed="false">
      <c r="D582" s="20"/>
      <c r="E582" s="20"/>
      <c r="F582" s="20"/>
    </row>
    <row r="583" customFormat="false" ht="12" hidden="false" customHeight="true" outlineLevel="0" collapsed="false">
      <c r="D583" s="20"/>
      <c r="E583" s="20"/>
      <c r="F583" s="20"/>
    </row>
    <row r="584" customFormat="false" ht="12" hidden="false" customHeight="true" outlineLevel="0" collapsed="false">
      <c r="D584" s="20"/>
      <c r="E584" s="20"/>
      <c r="F584" s="20"/>
    </row>
    <row r="585" customFormat="false" ht="12" hidden="false" customHeight="true" outlineLevel="0" collapsed="false">
      <c r="D585" s="20"/>
      <c r="E585" s="20"/>
      <c r="F585" s="20"/>
    </row>
    <row r="586" customFormat="false" ht="12" hidden="false" customHeight="true" outlineLevel="0" collapsed="false">
      <c r="D586" s="20"/>
      <c r="E586" s="20"/>
      <c r="F586" s="20"/>
    </row>
    <row r="587" customFormat="false" ht="12" hidden="false" customHeight="true" outlineLevel="0" collapsed="false">
      <c r="D587" s="20"/>
      <c r="E587" s="20"/>
      <c r="F587" s="20"/>
    </row>
    <row r="588" customFormat="false" ht="12" hidden="false" customHeight="true" outlineLevel="0" collapsed="false">
      <c r="D588" s="20"/>
      <c r="E588" s="20"/>
      <c r="F588" s="20"/>
    </row>
    <row r="589" customFormat="false" ht="12" hidden="false" customHeight="true" outlineLevel="0" collapsed="false">
      <c r="D589" s="20"/>
      <c r="E589" s="20"/>
      <c r="F589" s="20"/>
    </row>
    <row r="590" customFormat="false" ht="12" hidden="false" customHeight="true" outlineLevel="0" collapsed="false">
      <c r="D590" s="20"/>
      <c r="E590" s="20"/>
      <c r="F590" s="20"/>
    </row>
    <row r="591" customFormat="false" ht="12" hidden="false" customHeight="true" outlineLevel="0" collapsed="false">
      <c r="D591" s="20"/>
      <c r="E591" s="20"/>
      <c r="F591" s="20"/>
    </row>
    <row r="592" customFormat="false" ht="12" hidden="false" customHeight="true" outlineLevel="0" collapsed="false">
      <c r="D592" s="20"/>
      <c r="E592" s="20"/>
      <c r="F592" s="20"/>
    </row>
    <row r="593" customFormat="false" ht="12" hidden="false" customHeight="true" outlineLevel="0" collapsed="false">
      <c r="D593" s="20"/>
      <c r="E593" s="20"/>
      <c r="F593" s="20"/>
    </row>
    <row r="594" customFormat="false" ht="12" hidden="false" customHeight="true" outlineLevel="0" collapsed="false">
      <c r="D594" s="20"/>
      <c r="E594" s="20"/>
      <c r="F594" s="20"/>
    </row>
    <row r="595" customFormat="false" ht="12" hidden="false" customHeight="true" outlineLevel="0" collapsed="false">
      <c r="D595" s="20"/>
      <c r="E595" s="20"/>
      <c r="F595" s="20"/>
    </row>
    <row r="596" customFormat="false" ht="12" hidden="false" customHeight="true" outlineLevel="0" collapsed="false">
      <c r="D596" s="20"/>
      <c r="E596" s="20"/>
      <c r="F596" s="20"/>
    </row>
    <row r="597" customFormat="false" ht="12" hidden="false" customHeight="true" outlineLevel="0" collapsed="false">
      <c r="D597" s="20"/>
      <c r="E597" s="20"/>
      <c r="F597" s="20"/>
    </row>
    <row r="598" customFormat="false" ht="12" hidden="false" customHeight="true" outlineLevel="0" collapsed="false">
      <c r="D598" s="20"/>
      <c r="E598" s="20"/>
      <c r="F598" s="20"/>
    </row>
    <row r="599" customFormat="false" ht="12" hidden="false" customHeight="true" outlineLevel="0" collapsed="false">
      <c r="D599" s="20"/>
      <c r="E599" s="20"/>
      <c r="F599" s="20"/>
    </row>
    <row r="600" customFormat="false" ht="12" hidden="false" customHeight="true" outlineLevel="0" collapsed="false">
      <c r="D600" s="20"/>
      <c r="E600" s="20"/>
      <c r="F600" s="20"/>
    </row>
    <row r="601" customFormat="false" ht="12" hidden="false" customHeight="true" outlineLevel="0" collapsed="false">
      <c r="D601" s="20"/>
      <c r="E601" s="20"/>
      <c r="F601" s="20"/>
    </row>
    <row r="602" customFormat="false" ht="12" hidden="false" customHeight="true" outlineLevel="0" collapsed="false">
      <c r="D602" s="20"/>
      <c r="E602" s="20"/>
      <c r="F602" s="20"/>
    </row>
    <row r="603" customFormat="false" ht="12" hidden="false" customHeight="true" outlineLevel="0" collapsed="false">
      <c r="D603" s="20"/>
      <c r="E603" s="20"/>
      <c r="F603" s="20"/>
    </row>
    <row r="604" customFormat="false" ht="12" hidden="false" customHeight="true" outlineLevel="0" collapsed="false">
      <c r="D604" s="20"/>
      <c r="E604" s="20"/>
      <c r="F604" s="20"/>
    </row>
    <row r="605" customFormat="false" ht="12" hidden="false" customHeight="true" outlineLevel="0" collapsed="false">
      <c r="D605" s="20"/>
      <c r="E605" s="20"/>
      <c r="F605" s="20"/>
    </row>
    <row r="606" customFormat="false" ht="12" hidden="false" customHeight="true" outlineLevel="0" collapsed="false">
      <c r="D606" s="20"/>
      <c r="E606" s="20"/>
      <c r="F606" s="20"/>
    </row>
    <row r="607" customFormat="false" ht="12" hidden="false" customHeight="true" outlineLevel="0" collapsed="false">
      <c r="D607" s="20"/>
      <c r="E607" s="20"/>
      <c r="F607" s="20"/>
    </row>
    <row r="608" customFormat="false" ht="12" hidden="false" customHeight="true" outlineLevel="0" collapsed="false">
      <c r="D608" s="20"/>
      <c r="E608" s="20"/>
      <c r="F608" s="20"/>
    </row>
    <row r="609" customFormat="false" ht="12" hidden="false" customHeight="true" outlineLevel="0" collapsed="false">
      <c r="D609" s="20"/>
      <c r="E609" s="20"/>
      <c r="F609" s="20"/>
    </row>
    <row r="610" customFormat="false" ht="12" hidden="false" customHeight="true" outlineLevel="0" collapsed="false">
      <c r="D610" s="20"/>
      <c r="E610" s="20"/>
      <c r="F610" s="20"/>
    </row>
    <row r="611" customFormat="false" ht="12" hidden="false" customHeight="true" outlineLevel="0" collapsed="false">
      <c r="D611" s="20"/>
      <c r="E611" s="20"/>
      <c r="F611" s="20"/>
    </row>
    <row r="612" customFormat="false" ht="12" hidden="false" customHeight="true" outlineLevel="0" collapsed="false">
      <c r="D612" s="20"/>
      <c r="E612" s="20"/>
      <c r="F612" s="20"/>
    </row>
    <row r="613" customFormat="false" ht="12" hidden="false" customHeight="true" outlineLevel="0" collapsed="false">
      <c r="D613" s="20"/>
      <c r="E613" s="20"/>
      <c r="F613" s="20"/>
    </row>
    <row r="614" customFormat="false" ht="12" hidden="false" customHeight="true" outlineLevel="0" collapsed="false">
      <c r="D614" s="20"/>
      <c r="E614" s="20"/>
      <c r="F614" s="20"/>
    </row>
    <row r="615" customFormat="false" ht="12" hidden="false" customHeight="true" outlineLevel="0" collapsed="false">
      <c r="D615" s="20"/>
      <c r="E615" s="20"/>
      <c r="F615" s="20"/>
    </row>
    <row r="616" customFormat="false" ht="12" hidden="false" customHeight="true" outlineLevel="0" collapsed="false">
      <c r="D616" s="20"/>
      <c r="E616" s="20"/>
      <c r="F616" s="20"/>
    </row>
    <row r="617" customFormat="false" ht="12" hidden="false" customHeight="true" outlineLevel="0" collapsed="false">
      <c r="D617" s="20"/>
      <c r="E617" s="20"/>
      <c r="F617" s="20"/>
    </row>
    <row r="618" customFormat="false" ht="12" hidden="false" customHeight="true" outlineLevel="0" collapsed="false">
      <c r="D618" s="20"/>
      <c r="E618" s="20"/>
      <c r="F618" s="20"/>
    </row>
    <row r="619" customFormat="false" ht="12" hidden="false" customHeight="true" outlineLevel="0" collapsed="false">
      <c r="D619" s="20"/>
      <c r="E619" s="20"/>
      <c r="F619" s="20"/>
    </row>
    <row r="620" customFormat="false" ht="12" hidden="false" customHeight="true" outlineLevel="0" collapsed="false">
      <c r="D620" s="20"/>
      <c r="E620" s="20"/>
      <c r="F620" s="20"/>
    </row>
    <row r="621" customFormat="false" ht="12" hidden="false" customHeight="true" outlineLevel="0" collapsed="false">
      <c r="D621" s="20"/>
      <c r="E621" s="20"/>
      <c r="F621" s="20"/>
    </row>
    <row r="622" customFormat="false" ht="12" hidden="false" customHeight="true" outlineLevel="0" collapsed="false">
      <c r="D622" s="20"/>
      <c r="E622" s="20"/>
      <c r="F622" s="20"/>
    </row>
    <row r="623" customFormat="false" ht="12" hidden="false" customHeight="true" outlineLevel="0" collapsed="false">
      <c r="D623" s="20"/>
      <c r="E623" s="20"/>
      <c r="F623" s="20"/>
    </row>
    <row r="624" customFormat="false" ht="12" hidden="false" customHeight="true" outlineLevel="0" collapsed="false">
      <c r="D624" s="20"/>
      <c r="E624" s="20"/>
      <c r="F624" s="20"/>
    </row>
    <row r="625" customFormat="false" ht="12" hidden="false" customHeight="true" outlineLevel="0" collapsed="false">
      <c r="D625" s="20"/>
      <c r="E625" s="20"/>
      <c r="F625" s="20"/>
    </row>
    <row r="626" customFormat="false" ht="12" hidden="false" customHeight="true" outlineLevel="0" collapsed="false">
      <c r="D626" s="20"/>
      <c r="E626" s="20"/>
      <c r="F626" s="20"/>
    </row>
    <row r="627" customFormat="false" ht="12" hidden="false" customHeight="true" outlineLevel="0" collapsed="false">
      <c r="D627" s="20"/>
      <c r="E627" s="20"/>
      <c r="F627" s="20"/>
    </row>
    <row r="628" customFormat="false" ht="12" hidden="false" customHeight="true" outlineLevel="0" collapsed="false">
      <c r="D628" s="20"/>
      <c r="E628" s="20"/>
      <c r="F628" s="20"/>
    </row>
    <row r="629" customFormat="false" ht="12" hidden="false" customHeight="true" outlineLevel="0" collapsed="false">
      <c r="D629" s="20"/>
      <c r="E629" s="20"/>
      <c r="F629" s="20"/>
    </row>
    <row r="630" customFormat="false" ht="12" hidden="false" customHeight="true" outlineLevel="0" collapsed="false">
      <c r="D630" s="20"/>
      <c r="E630" s="20"/>
      <c r="F630" s="20"/>
    </row>
    <row r="631" customFormat="false" ht="12" hidden="false" customHeight="true" outlineLevel="0" collapsed="false">
      <c r="D631" s="20"/>
      <c r="E631" s="20"/>
      <c r="F631" s="20"/>
    </row>
    <row r="632" customFormat="false" ht="12" hidden="false" customHeight="true" outlineLevel="0" collapsed="false">
      <c r="D632" s="20"/>
      <c r="E632" s="20"/>
      <c r="F632" s="20"/>
    </row>
    <row r="633" customFormat="false" ht="12" hidden="false" customHeight="true" outlineLevel="0" collapsed="false">
      <c r="D633" s="20"/>
      <c r="E633" s="20"/>
      <c r="F633" s="20"/>
    </row>
    <row r="634" customFormat="false" ht="12" hidden="false" customHeight="true" outlineLevel="0" collapsed="false">
      <c r="D634" s="20"/>
      <c r="E634" s="20"/>
      <c r="F634" s="20"/>
    </row>
    <row r="635" customFormat="false" ht="12" hidden="false" customHeight="true" outlineLevel="0" collapsed="false">
      <c r="D635" s="20"/>
      <c r="E635" s="20"/>
      <c r="F635" s="20"/>
    </row>
    <row r="636" customFormat="false" ht="12" hidden="false" customHeight="true" outlineLevel="0" collapsed="false">
      <c r="D636" s="20"/>
      <c r="E636" s="20"/>
      <c r="F636" s="20"/>
    </row>
    <row r="637" customFormat="false" ht="12" hidden="false" customHeight="true" outlineLevel="0" collapsed="false">
      <c r="D637" s="20"/>
      <c r="E637" s="20"/>
      <c r="F637" s="20"/>
    </row>
    <row r="638" customFormat="false" ht="12" hidden="false" customHeight="true" outlineLevel="0" collapsed="false">
      <c r="D638" s="20"/>
      <c r="E638" s="20"/>
      <c r="F638" s="20"/>
    </row>
    <row r="639" customFormat="false" ht="12" hidden="false" customHeight="true" outlineLevel="0" collapsed="false">
      <c r="D639" s="20"/>
      <c r="E639" s="20"/>
      <c r="F639" s="20"/>
    </row>
    <row r="640" customFormat="false" ht="12" hidden="false" customHeight="true" outlineLevel="0" collapsed="false">
      <c r="D640" s="20"/>
      <c r="E640" s="20"/>
      <c r="F640" s="20"/>
    </row>
    <row r="641" customFormat="false" ht="12" hidden="false" customHeight="true" outlineLevel="0" collapsed="false">
      <c r="D641" s="20"/>
      <c r="E641" s="20"/>
      <c r="F641" s="20"/>
    </row>
    <row r="642" customFormat="false" ht="12" hidden="false" customHeight="true" outlineLevel="0" collapsed="false">
      <c r="D642" s="20"/>
      <c r="E642" s="20"/>
      <c r="F642" s="20"/>
    </row>
    <row r="643" customFormat="false" ht="12" hidden="false" customHeight="true" outlineLevel="0" collapsed="false">
      <c r="D643" s="20"/>
      <c r="E643" s="20"/>
      <c r="F643" s="20"/>
    </row>
    <row r="644" customFormat="false" ht="12" hidden="false" customHeight="true" outlineLevel="0" collapsed="false">
      <c r="D644" s="20"/>
      <c r="E644" s="20"/>
      <c r="F644" s="20"/>
    </row>
    <row r="645" customFormat="false" ht="12" hidden="false" customHeight="true" outlineLevel="0" collapsed="false">
      <c r="D645" s="20"/>
      <c r="E645" s="20"/>
      <c r="F645" s="20"/>
    </row>
    <row r="646" customFormat="false" ht="12" hidden="false" customHeight="true" outlineLevel="0" collapsed="false">
      <c r="D646" s="20"/>
      <c r="E646" s="20"/>
      <c r="F646" s="20"/>
    </row>
    <row r="647" customFormat="false" ht="12" hidden="false" customHeight="true" outlineLevel="0" collapsed="false">
      <c r="D647" s="20"/>
      <c r="E647" s="20"/>
      <c r="F647" s="20"/>
    </row>
    <row r="648" customFormat="false" ht="12" hidden="false" customHeight="true" outlineLevel="0" collapsed="false">
      <c r="D648" s="20"/>
      <c r="E648" s="20"/>
      <c r="F648" s="20"/>
    </row>
    <row r="649" customFormat="false" ht="12" hidden="false" customHeight="true" outlineLevel="0" collapsed="false">
      <c r="D649" s="20"/>
      <c r="E649" s="20"/>
      <c r="F649" s="20"/>
    </row>
    <row r="650" customFormat="false" ht="12" hidden="false" customHeight="true" outlineLevel="0" collapsed="false">
      <c r="D650" s="20"/>
      <c r="E650" s="20"/>
      <c r="F650" s="20"/>
    </row>
    <row r="651" customFormat="false" ht="12" hidden="false" customHeight="true" outlineLevel="0" collapsed="false">
      <c r="D651" s="20"/>
      <c r="E651" s="20"/>
      <c r="F651" s="20"/>
    </row>
    <row r="652" customFormat="false" ht="12" hidden="false" customHeight="true" outlineLevel="0" collapsed="false">
      <c r="D652" s="20"/>
      <c r="E652" s="20"/>
      <c r="F652" s="20"/>
    </row>
    <row r="653" customFormat="false" ht="12" hidden="false" customHeight="true" outlineLevel="0" collapsed="false">
      <c r="D653" s="20"/>
      <c r="E653" s="20"/>
      <c r="F653" s="20"/>
    </row>
    <row r="654" customFormat="false" ht="12" hidden="false" customHeight="true" outlineLevel="0" collapsed="false">
      <c r="D654" s="20"/>
      <c r="E654" s="20"/>
      <c r="F654" s="20"/>
    </row>
    <row r="655" customFormat="false" ht="12" hidden="false" customHeight="true" outlineLevel="0" collapsed="false">
      <c r="D655" s="20"/>
      <c r="E655" s="20"/>
      <c r="F655" s="20"/>
    </row>
    <row r="656" customFormat="false" ht="12" hidden="false" customHeight="true" outlineLevel="0" collapsed="false">
      <c r="D656" s="20"/>
      <c r="E656" s="20"/>
      <c r="F656" s="20"/>
    </row>
    <row r="657" customFormat="false" ht="12" hidden="false" customHeight="true" outlineLevel="0" collapsed="false">
      <c r="D657" s="20"/>
      <c r="E657" s="20"/>
      <c r="F657" s="20"/>
    </row>
    <row r="658" customFormat="false" ht="12" hidden="false" customHeight="true" outlineLevel="0" collapsed="false">
      <c r="D658" s="20"/>
      <c r="E658" s="20"/>
      <c r="F658" s="20"/>
    </row>
    <row r="659" customFormat="false" ht="12" hidden="false" customHeight="true" outlineLevel="0" collapsed="false">
      <c r="D659" s="20"/>
      <c r="E659" s="20"/>
      <c r="F659" s="20"/>
    </row>
    <row r="660" customFormat="false" ht="12" hidden="false" customHeight="true" outlineLevel="0" collapsed="false">
      <c r="D660" s="20"/>
      <c r="E660" s="20"/>
      <c r="F660" s="20"/>
    </row>
    <row r="661" customFormat="false" ht="12" hidden="false" customHeight="true" outlineLevel="0" collapsed="false">
      <c r="D661" s="20"/>
      <c r="E661" s="20"/>
      <c r="F661" s="20"/>
    </row>
    <row r="662" customFormat="false" ht="12" hidden="false" customHeight="true" outlineLevel="0" collapsed="false">
      <c r="D662" s="20"/>
      <c r="E662" s="20"/>
      <c r="F662" s="20"/>
    </row>
    <row r="663" customFormat="false" ht="12" hidden="false" customHeight="true" outlineLevel="0" collapsed="false">
      <c r="D663" s="20"/>
      <c r="E663" s="20"/>
      <c r="F663" s="20"/>
    </row>
    <row r="664" customFormat="false" ht="12" hidden="false" customHeight="true" outlineLevel="0" collapsed="false">
      <c r="D664" s="20"/>
      <c r="E664" s="20"/>
      <c r="F664" s="20"/>
    </row>
    <row r="665" customFormat="false" ht="12" hidden="false" customHeight="true" outlineLevel="0" collapsed="false">
      <c r="D665" s="20"/>
      <c r="E665" s="20"/>
      <c r="F665" s="20"/>
    </row>
    <row r="666" customFormat="false" ht="12" hidden="false" customHeight="true" outlineLevel="0" collapsed="false">
      <c r="D666" s="20"/>
      <c r="E666" s="20"/>
      <c r="F666" s="20"/>
    </row>
    <row r="667" customFormat="false" ht="12" hidden="false" customHeight="true" outlineLevel="0" collapsed="false">
      <c r="D667" s="20"/>
      <c r="E667" s="20"/>
      <c r="F667" s="20"/>
    </row>
    <row r="668" customFormat="false" ht="12" hidden="false" customHeight="true" outlineLevel="0" collapsed="false">
      <c r="D668" s="20"/>
      <c r="E668" s="20"/>
      <c r="F668" s="20"/>
    </row>
    <row r="669" customFormat="false" ht="12" hidden="false" customHeight="true" outlineLevel="0" collapsed="false">
      <c r="D669" s="20"/>
      <c r="E669" s="20"/>
      <c r="F669" s="20"/>
    </row>
    <row r="670" customFormat="false" ht="12" hidden="false" customHeight="true" outlineLevel="0" collapsed="false">
      <c r="D670" s="20"/>
      <c r="E670" s="20"/>
      <c r="F670" s="20"/>
    </row>
    <row r="671" customFormat="false" ht="12" hidden="false" customHeight="true" outlineLevel="0" collapsed="false">
      <c r="D671" s="20"/>
      <c r="E671" s="20"/>
      <c r="F671" s="20"/>
    </row>
    <row r="672" customFormat="false" ht="12" hidden="false" customHeight="true" outlineLevel="0" collapsed="false">
      <c r="D672" s="20"/>
      <c r="E672" s="20"/>
      <c r="F672" s="20"/>
    </row>
    <row r="673" customFormat="false" ht="12" hidden="false" customHeight="true" outlineLevel="0" collapsed="false">
      <c r="D673" s="20"/>
      <c r="E673" s="20"/>
      <c r="F673" s="20"/>
    </row>
    <row r="674" customFormat="false" ht="12" hidden="false" customHeight="true" outlineLevel="0" collapsed="false">
      <c r="D674" s="20"/>
      <c r="E674" s="20"/>
      <c r="F674" s="20"/>
    </row>
    <row r="675" customFormat="false" ht="12" hidden="false" customHeight="true" outlineLevel="0" collapsed="false">
      <c r="D675" s="20"/>
      <c r="E675" s="20"/>
      <c r="F675" s="20"/>
    </row>
    <row r="676" customFormat="false" ht="12" hidden="false" customHeight="true" outlineLevel="0" collapsed="false">
      <c r="D676" s="20"/>
      <c r="E676" s="20"/>
      <c r="F676" s="20"/>
    </row>
    <row r="677" customFormat="false" ht="12" hidden="false" customHeight="true" outlineLevel="0" collapsed="false">
      <c r="D677" s="20"/>
      <c r="E677" s="20"/>
      <c r="F677" s="20"/>
    </row>
    <row r="678" customFormat="false" ht="12" hidden="false" customHeight="true" outlineLevel="0" collapsed="false">
      <c r="D678" s="20"/>
      <c r="E678" s="20"/>
      <c r="F678" s="20"/>
    </row>
    <row r="679" customFormat="false" ht="12" hidden="false" customHeight="true" outlineLevel="0" collapsed="false">
      <c r="D679" s="20"/>
      <c r="E679" s="20"/>
      <c r="F679" s="20"/>
    </row>
    <row r="680" customFormat="false" ht="12" hidden="false" customHeight="true" outlineLevel="0" collapsed="false">
      <c r="D680" s="20"/>
      <c r="E680" s="20"/>
      <c r="F680" s="20"/>
    </row>
    <row r="681" customFormat="false" ht="12" hidden="false" customHeight="true" outlineLevel="0" collapsed="false">
      <c r="D681" s="20"/>
      <c r="E681" s="20"/>
      <c r="F681" s="20"/>
    </row>
    <row r="682" customFormat="false" ht="12" hidden="false" customHeight="true" outlineLevel="0" collapsed="false">
      <c r="D682" s="20"/>
      <c r="E682" s="20"/>
      <c r="F682" s="20"/>
    </row>
    <row r="683" customFormat="false" ht="12" hidden="false" customHeight="true" outlineLevel="0" collapsed="false">
      <c r="D683" s="20"/>
      <c r="E683" s="20"/>
      <c r="F683" s="20"/>
    </row>
    <row r="684" customFormat="false" ht="12" hidden="false" customHeight="true" outlineLevel="0" collapsed="false">
      <c r="D684" s="20"/>
      <c r="E684" s="20"/>
      <c r="F684" s="20"/>
    </row>
    <row r="685" customFormat="false" ht="12" hidden="false" customHeight="true" outlineLevel="0" collapsed="false">
      <c r="D685" s="20"/>
      <c r="E685" s="20"/>
      <c r="F685" s="20"/>
    </row>
    <row r="686" customFormat="false" ht="12" hidden="false" customHeight="true" outlineLevel="0" collapsed="false">
      <c r="D686" s="20"/>
      <c r="E686" s="20"/>
      <c r="F686" s="20"/>
    </row>
    <row r="687" customFormat="false" ht="12" hidden="false" customHeight="true" outlineLevel="0" collapsed="false">
      <c r="D687" s="20"/>
      <c r="E687" s="20"/>
      <c r="F687" s="20"/>
    </row>
    <row r="688" customFormat="false" ht="12" hidden="false" customHeight="true" outlineLevel="0" collapsed="false">
      <c r="D688" s="20"/>
      <c r="E688" s="20"/>
      <c r="F688" s="20"/>
    </row>
    <row r="689" customFormat="false" ht="12" hidden="false" customHeight="true" outlineLevel="0" collapsed="false">
      <c r="D689" s="20"/>
      <c r="E689" s="20"/>
      <c r="F689" s="20"/>
    </row>
    <row r="690" customFormat="false" ht="12" hidden="false" customHeight="true" outlineLevel="0" collapsed="false">
      <c r="D690" s="20"/>
      <c r="E690" s="20"/>
      <c r="F690" s="20"/>
    </row>
    <row r="691" customFormat="false" ht="12" hidden="false" customHeight="true" outlineLevel="0" collapsed="false">
      <c r="D691" s="20"/>
      <c r="E691" s="20"/>
      <c r="F691" s="20"/>
    </row>
    <row r="692" customFormat="false" ht="12" hidden="false" customHeight="true" outlineLevel="0" collapsed="false">
      <c r="D692" s="20"/>
      <c r="E692" s="20"/>
      <c r="F692" s="20"/>
    </row>
    <row r="693" customFormat="false" ht="12" hidden="false" customHeight="true" outlineLevel="0" collapsed="false">
      <c r="D693" s="20"/>
      <c r="E693" s="20"/>
      <c r="F693" s="20"/>
    </row>
    <row r="694" customFormat="false" ht="12" hidden="false" customHeight="true" outlineLevel="0" collapsed="false">
      <c r="D694" s="20"/>
      <c r="E694" s="20"/>
      <c r="F694" s="20"/>
    </row>
    <row r="695" customFormat="false" ht="12" hidden="false" customHeight="true" outlineLevel="0" collapsed="false">
      <c r="D695" s="20"/>
      <c r="E695" s="20"/>
      <c r="F695" s="20"/>
    </row>
    <row r="696" customFormat="false" ht="12" hidden="false" customHeight="true" outlineLevel="0" collapsed="false">
      <c r="D696" s="20"/>
      <c r="E696" s="20"/>
      <c r="F696" s="20"/>
    </row>
    <row r="697" customFormat="false" ht="12" hidden="false" customHeight="true" outlineLevel="0" collapsed="false">
      <c r="D697" s="20"/>
      <c r="E697" s="20"/>
      <c r="F697" s="20"/>
    </row>
    <row r="698" customFormat="false" ht="12" hidden="false" customHeight="true" outlineLevel="0" collapsed="false">
      <c r="D698" s="20"/>
      <c r="E698" s="20"/>
      <c r="F698" s="20"/>
    </row>
    <row r="699" customFormat="false" ht="12" hidden="false" customHeight="true" outlineLevel="0" collapsed="false">
      <c r="D699" s="20"/>
      <c r="E699" s="20"/>
      <c r="F699" s="20"/>
    </row>
    <row r="700" customFormat="false" ht="12" hidden="false" customHeight="true" outlineLevel="0" collapsed="false">
      <c r="D700" s="20"/>
      <c r="E700" s="20"/>
      <c r="F700" s="20"/>
    </row>
    <row r="701" customFormat="false" ht="12" hidden="false" customHeight="true" outlineLevel="0" collapsed="false">
      <c r="D701" s="20"/>
      <c r="E701" s="20"/>
      <c r="F701" s="20"/>
    </row>
    <row r="702" customFormat="false" ht="12" hidden="false" customHeight="true" outlineLevel="0" collapsed="false">
      <c r="D702" s="20"/>
      <c r="E702" s="20"/>
      <c r="F702" s="20"/>
    </row>
    <row r="703" customFormat="false" ht="12" hidden="false" customHeight="true" outlineLevel="0" collapsed="false">
      <c r="D703" s="20"/>
      <c r="E703" s="20"/>
      <c r="F703" s="20"/>
    </row>
    <row r="704" customFormat="false" ht="12" hidden="false" customHeight="true" outlineLevel="0" collapsed="false">
      <c r="D704" s="20"/>
      <c r="E704" s="20"/>
      <c r="F704" s="20"/>
    </row>
    <row r="705" customFormat="false" ht="12" hidden="false" customHeight="true" outlineLevel="0" collapsed="false">
      <c r="D705" s="20"/>
      <c r="E705" s="20"/>
      <c r="F705" s="20"/>
    </row>
    <row r="706" customFormat="false" ht="12" hidden="false" customHeight="true" outlineLevel="0" collapsed="false">
      <c r="D706" s="20"/>
      <c r="E706" s="20"/>
      <c r="F706" s="20"/>
    </row>
    <row r="707" customFormat="false" ht="12" hidden="false" customHeight="true" outlineLevel="0" collapsed="false">
      <c r="D707" s="20"/>
      <c r="E707" s="20"/>
      <c r="F707" s="20"/>
    </row>
    <row r="708" customFormat="false" ht="12" hidden="false" customHeight="true" outlineLevel="0" collapsed="false">
      <c r="D708" s="20"/>
      <c r="E708" s="20"/>
      <c r="F708" s="20"/>
    </row>
    <row r="709" customFormat="false" ht="12" hidden="false" customHeight="true" outlineLevel="0" collapsed="false">
      <c r="D709" s="20"/>
      <c r="E709" s="20"/>
      <c r="F709" s="20"/>
    </row>
    <row r="710" customFormat="false" ht="12" hidden="false" customHeight="true" outlineLevel="0" collapsed="false">
      <c r="D710" s="20"/>
      <c r="E710" s="20"/>
      <c r="F710" s="20"/>
    </row>
    <row r="711" customFormat="false" ht="12" hidden="false" customHeight="true" outlineLevel="0" collapsed="false">
      <c r="D711" s="20"/>
      <c r="E711" s="20"/>
      <c r="F711" s="20"/>
    </row>
    <row r="712" customFormat="false" ht="12" hidden="false" customHeight="true" outlineLevel="0" collapsed="false">
      <c r="D712" s="20"/>
      <c r="E712" s="20"/>
      <c r="F712" s="20"/>
    </row>
    <row r="713" customFormat="false" ht="12" hidden="false" customHeight="true" outlineLevel="0" collapsed="false">
      <c r="D713" s="20"/>
      <c r="E713" s="20"/>
      <c r="F713" s="20"/>
    </row>
    <row r="714" customFormat="false" ht="12" hidden="false" customHeight="true" outlineLevel="0" collapsed="false">
      <c r="D714" s="20"/>
      <c r="E714" s="20"/>
      <c r="F714" s="20"/>
    </row>
    <row r="715" customFormat="false" ht="12" hidden="false" customHeight="true" outlineLevel="0" collapsed="false">
      <c r="D715" s="20"/>
      <c r="E715" s="20"/>
      <c r="F715" s="20"/>
    </row>
    <row r="716" customFormat="false" ht="12" hidden="false" customHeight="true" outlineLevel="0" collapsed="false">
      <c r="D716" s="20"/>
      <c r="E716" s="20"/>
      <c r="F716" s="20"/>
    </row>
    <row r="717" customFormat="false" ht="12" hidden="false" customHeight="true" outlineLevel="0" collapsed="false">
      <c r="D717" s="20"/>
      <c r="E717" s="20"/>
      <c r="F717" s="20"/>
    </row>
    <row r="718" customFormat="false" ht="12" hidden="false" customHeight="true" outlineLevel="0" collapsed="false">
      <c r="D718" s="20"/>
      <c r="E718" s="20"/>
      <c r="F718" s="20"/>
    </row>
    <row r="719" customFormat="false" ht="12" hidden="false" customHeight="true" outlineLevel="0" collapsed="false">
      <c r="D719" s="20"/>
      <c r="E719" s="20"/>
      <c r="F719" s="20"/>
    </row>
    <row r="720" customFormat="false" ht="12" hidden="false" customHeight="true" outlineLevel="0" collapsed="false">
      <c r="D720" s="20"/>
      <c r="E720" s="20"/>
      <c r="F720" s="20"/>
    </row>
    <row r="721" customFormat="false" ht="12" hidden="false" customHeight="true" outlineLevel="0" collapsed="false">
      <c r="D721" s="20"/>
      <c r="E721" s="20"/>
      <c r="F721" s="20"/>
    </row>
    <row r="722" customFormat="false" ht="12" hidden="false" customHeight="true" outlineLevel="0" collapsed="false">
      <c r="D722" s="20"/>
      <c r="E722" s="20"/>
      <c r="F722" s="20"/>
    </row>
    <row r="723" customFormat="false" ht="12" hidden="false" customHeight="true" outlineLevel="0" collapsed="false">
      <c r="D723" s="20"/>
      <c r="E723" s="20"/>
      <c r="F723" s="20"/>
    </row>
    <row r="724" customFormat="false" ht="12" hidden="false" customHeight="true" outlineLevel="0" collapsed="false">
      <c r="D724" s="20"/>
      <c r="E724" s="20"/>
      <c r="F724" s="20"/>
    </row>
    <row r="725" customFormat="false" ht="12" hidden="false" customHeight="true" outlineLevel="0" collapsed="false">
      <c r="D725" s="20"/>
      <c r="E725" s="20"/>
      <c r="F725" s="20"/>
    </row>
    <row r="726" customFormat="false" ht="12" hidden="false" customHeight="true" outlineLevel="0" collapsed="false">
      <c r="D726" s="20"/>
      <c r="E726" s="20"/>
      <c r="F726" s="20"/>
    </row>
    <row r="727" customFormat="false" ht="12" hidden="false" customHeight="true" outlineLevel="0" collapsed="false">
      <c r="D727" s="20"/>
      <c r="E727" s="20"/>
      <c r="F727" s="20"/>
    </row>
    <row r="728" customFormat="false" ht="12" hidden="false" customHeight="true" outlineLevel="0" collapsed="false">
      <c r="D728" s="20"/>
      <c r="E728" s="20"/>
      <c r="F728" s="20"/>
    </row>
    <row r="729" customFormat="false" ht="12" hidden="false" customHeight="true" outlineLevel="0" collapsed="false">
      <c r="D729" s="20"/>
      <c r="E729" s="20"/>
      <c r="F729" s="20"/>
    </row>
    <row r="730" customFormat="false" ht="12" hidden="false" customHeight="true" outlineLevel="0" collapsed="false">
      <c r="D730" s="20"/>
      <c r="E730" s="20"/>
      <c r="F730" s="20"/>
    </row>
    <row r="731" customFormat="false" ht="12" hidden="false" customHeight="true" outlineLevel="0" collapsed="false">
      <c r="D731" s="20"/>
      <c r="E731" s="20"/>
      <c r="F731" s="20"/>
    </row>
    <row r="732" customFormat="false" ht="12" hidden="false" customHeight="true" outlineLevel="0" collapsed="false">
      <c r="D732" s="20"/>
      <c r="E732" s="20"/>
      <c r="F732" s="20"/>
    </row>
    <row r="733" customFormat="false" ht="12" hidden="false" customHeight="true" outlineLevel="0" collapsed="false">
      <c r="D733" s="20"/>
      <c r="E733" s="20"/>
      <c r="F733" s="20"/>
    </row>
    <row r="734" customFormat="false" ht="12" hidden="false" customHeight="true" outlineLevel="0" collapsed="false">
      <c r="D734" s="20"/>
      <c r="E734" s="20"/>
      <c r="F734" s="20"/>
    </row>
    <row r="735" customFormat="false" ht="12" hidden="false" customHeight="true" outlineLevel="0" collapsed="false">
      <c r="D735" s="20"/>
      <c r="E735" s="20"/>
      <c r="F735" s="20"/>
    </row>
    <row r="736" customFormat="false" ht="12" hidden="false" customHeight="true" outlineLevel="0" collapsed="false">
      <c r="D736" s="20"/>
      <c r="E736" s="20"/>
      <c r="F736" s="20"/>
    </row>
    <row r="737" customFormat="false" ht="12" hidden="false" customHeight="true" outlineLevel="0" collapsed="false">
      <c r="D737" s="20"/>
      <c r="E737" s="20"/>
      <c r="F737" s="20"/>
    </row>
    <row r="738" customFormat="false" ht="12" hidden="false" customHeight="true" outlineLevel="0" collapsed="false">
      <c r="D738" s="20"/>
      <c r="E738" s="20"/>
      <c r="F738" s="20"/>
    </row>
    <row r="739" customFormat="false" ht="12" hidden="false" customHeight="true" outlineLevel="0" collapsed="false">
      <c r="D739" s="20"/>
      <c r="E739" s="20"/>
      <c r="F739" s="20"/>
    </row>
    <row r="740" customFormat="false" ht="12" hidden="false" customHeight="true" outlineLevel="0" collapsed="false">
      <c r="D740" s="20"/>
      <c r="E740" s="20"/>
      <c r="F740" s="20"/>
    </row>
    <row r="741" customFormat="false" ht="12" hidden="false" customHeight="true" outlineLevel="0" collapsed="false">
      <c r="D741" s="20"/>
      <c r="E741" s="20"/>
      <c r="F741" s="20"/>
    </row>
    <row r="742" customFormat="false" ht="12" hidden="false" customHeight="true" outlineLevel="0" collapsed="false">
      <c r="D742" s="20"/>
      <c r="E742" s="20"/>
      <c r="F742" s="20"/>
    </row>
    <row r="743" customFormat="false" ht="12" hidden="false" customHeight="true" outlineLevel="0" collapsed="false">
      <c r="D743" s="20"/>
      <c r="E743" s="20"/>
      <c r="F743" s="20"/>
    </row>
    <row r="744" customFormat="false" ht="12" hidden="false" customHeight="true" outlineLevel="0" collapsed="false">
      <c r="D744" s="20"/>
      <c r="E744" s="20"/>
      <c r="F744" s="20"/>
    </row>
    <row r="745" customFormat="false" ht="12" hidden="false" customHeight="true" outlineLevel="0" collapsed="false">
      <c r="D745" s="20"/>
      <c r="E745" s="20"/>
      <c r="F745" s="20"/>
    </row>
    <row r="746" customFormat="false" ht="12" hidden="false" customHeight="true" outlineLevel="0" collapsed="false">
      <c r="D746" s="20"/>
      <c r="E746" s="20"/>
      <c r="F746" s="20"/>
    </row>
    <row r="747" customFormat="false" ht="12" hidden="false" customHeight="true" outlineLevel="0" collapsed="false">
      <c r="D747" s="20"/>
      <c r="E747" s="20"/>
      <c r="F747" s="20"/>
    </row>
    <row r="748" customFormat="false" ht="12" hidden="false" customHeight="true" outlineLevel="0" collapsed="false">
      <c r="D748" s="20"/>
      <c r="E748" s="20"/>
      <c r="F748" s="20"/>
    </row>
    <row r="749" customFormat="false" ht="12" hidden="false" customHeight="true" outlineLevel="0" collapsed="false">
      <c r="D749" s="20"/>
      <c r="E749" s="20"/>
      <c r="F749" s="20"/>
    </row>
    <row r="750" customFormat="false" ht="12" hidden="false" customHeight="true" outlineLevel="0" collapsed="false">
      <c r="D750" s="20"/>
      <c r="E750" s="20"/>
      <c r="F750" s="20"/>
    </row>
    <row r="751" customFormat="false" ht="12" hidden="false" customHeight="true" outlineLevel="0" collapsed="false">
      <c r="D751" s="20"/>
      <c r="E751" s="20"/>
      <c r="F751" s="20"/>
    </row>
    <row r="752" customFormat="false" ht="12" hidden="false" customHeight="true" outlineLevel="0" collapsed="false">
      <c r="D752" s="20"/>
      <c r="E752" s="20"/>
      <c r="F752" s="20"/>
    </row>
    <row r="753" customFormat="false" ht="12" hidden="false" customHeight="true" outlineLevel="0" collapsed="false">
      <c r="D753" s="20"/>
      <c r="E753" s="20"/>
      <c r="F753" s="20"/>
    </row>
    <row r="754" customFormat="false" ht="12" hidden="false" customHeight="true" outlineLevel="0" collapsed="false">
      <c r="D754" s="20"/>
      <c r="E754" s="20"/>
      <c r="F754" s="20"/>
    </row>
    <row r="755" customFormat="false" ht="12" hidden="false" customHeight="true" outlineLevel="0" collapsed="false">
      <c r="D755" s="20"/>
      <c r="E755" s="20"/>
      <c r="F755" s="20"/>
    </row>
    <row r="756" customFormat="false" ht="12" hidden="false" customHeight="true" outlineLevel="0" collapsed="false">
      <c r="D756" s="20"/>
      <c r="E756" s="20"/>
      <c r="F756" s="20"/>
    </row>
    <row r="757" customFormat="false" ht="12" hidden="false" customHeight="true" outlineLevel="0" collapsed="false">
      <c r="D757" s="20"/>
      <c r="E757" s="20"/>
      <c r="F757" s="20"/>
    </row>
    <row r="758" customFormat="false" ht="12" hidden="false" customHeight="true" outlineLevel="0" collapsed="false">
      <c r="D758" s="20"/>
      <c r="E758" s="20"/>
      <c r="F758" s="20"/>
    </row>
    <row r="759" customFormat="false" ht="12" hidden="false" customHeight="true" outlineLevel="0" collapsed="false">
      <c r="D759" s="20"/>
      <c r="E759" s="20"/>
      <c r="F759" s="20"/>
    </row>
    <row r="760" customFormat="false" ht="12" hidden="false" customHeight="true" outlineLevel="0" collapsed="false">
      <c r="D760" s="20"/>
      <c r="E760" s="20"/>
      <c r="F760" s="20"/>
    </row>
    <row r="761" customFormat="false" ht="12" hidden="false" customHeight="true" outlineLevel="0" collapsed="false">
      <c r="D761" s="20"/>
      <c r="E761" s="20"/>
      <c r="F761" s="20"/>
    </row>
    <row r="762" customFormat="false" ht="12" hidden="false" customHeight="true" outlineLevel="0" collapsed="false">
      <c r="D762" s="20"/>
      <c r="E762" s="20"/>
      <c r="F762" s="20"/>
    </row>
    <row r="763" customFormat="false" ht="12" hidden="false" customHeight="true" outlineLevel="0" collapsed="false">
      <c r="D763" s="20"/>
      <c r="E763" s="20"/>
      <c r="F763" s="20"/>
    </row>
    <row r="764" customFormat="false" ht="12" hidden="false" customHeight="true" outlineLevel="0" collapsed="false">
      <c r="D764" s="20"/>
      <c r="E764" s="20"/>
      <c r="F764" s="20"/>
    </row>
    <row r="765" customFormat="false" ht="12" hidden="false" customHeight="true" outlineLevel="0" collapsed="false">
      <c r="D765" s="20"/>
      <c r="E765" s="20"/>
      <c r="F765" s="20"/>
    </row>
    <row r="766" customFormat="false" ht="12" hidden="false" customHeight="true" outlineLevel="0" collapsed="false">
      <c r="D766" s="20"/>
      <c r="E766" s="20"/>
      <c r="F766" s="20"/>
    </row>
    <row r="767" customFormat="false" ht="12" hidden="false" customHeight="true" outlineLevel="0" collapsed="false">
      <c r="D767" s="20"/>
      <c r="E767" s="20"/>
      <c r="F767" s="20"/>
    </row>
    <row r="768" customFormat="false" ht="12" hidden="false" customHeight="true" outlineLevel="0" collapsed="false">
      <c r="D768" s="20"/>
      <c r="E768" s="20"/>
      <c r="F768" s="20"/>
    </row>
    <row r="769" customFormat="false" ht="12" hidden="false" customHeight="true" outlineLevel="0" collapsed="false">
      <c r="D769" s="20"/>
      <c r="E769" s="20"/>
      <c r="F769" s="20"/>
    </row>
    <row r="770" customFormat="false" ht="12" hidden="false" customHeight="true" outlineLevel="0" collapsed="false">
      <c r="D770" s="20"/>
      <c r="E770" s="20"/>
      <c r="F770" s="20"/>
    </row>
    <row r="771" customFormat="false" ht="12" hidden="false" customHeight="true" outlineLevel="0" collapsed="false">
      <c r="D771" s="20"/>
      <c r="E771" s="20"/>
      <c r="F771" s="20"/>
    </row>
    <row r="772" customFormat="false" ht="12" hidden="false" customHeight="true" outlineLevel="0" collapsed="false">
      <c r="D772" s="20"/>
      <c r="E772" s="20"/>
      <c r="F772" s="20"/>
    </row>
    <row r="773" customFormat="false" ht="12" hidden="false" customHeight="true" outlineLevel="0" collapsed="false">
      <c r="D773" s="20"/>
      <c r="E773" s="20"/>
      <c r="F773" s="20"/>
    </row>
    <row r="774" customFormat="false" ht="12" hidden="false" customHeight="true" outlineLevel="0" collapsed="false">
      <c r="D774" s="20"/>
      <c r="E774" s="20"/>
      <c r="F774" s="20"/>
    </row>
    <row r="775" customFormat="false" ht="12" hidden="false" customHeight="true" outlineLevel="0" collapsed="false">
      <c r="D775" s="20"/>
      <c r="E775" s="20"/>
      <c r="F775" s="20"/>
    </row>
    <row r="776" customFormat="false" ht="12" hidden="false" customHeight="true" outlineLevel="0" collapsed="false">
      <c r="D776" s="20"/>
      <c r="E776" s="20"/>
      <c r="F776" s="20"/>
    </row>
    <row r="777" customFormat="false" ht="12" hidden="false" customHeight="true" outlineLevel="0" collapsed="false">
      <c r="D777" s="20"/>
      <c r="E777" s="20"/>
      <c r="F777" s="20"/>
    </row>
    <row r="778" customFormat="false" ht="12" hidden="false" customHeight="true" outlineLevel="0" collapsed="false">
      <c r="D778" s="20"/>
      <c r="E778" s="20"/>
      <c r="F778" s="20"/>
    </row>
    <row r="779" customFormat="false" ht="12" hidden="false" customHeight="true" outlineLevel="0" collapsed="false">
      <c r="D779" s="20"/>
      <c r="E779" s="20"/>
      <c r="F779" s="20"/>
    </row>
    <row r="780" customFormat="false" ht="12" hidden="false" customHeight="true" outlineLevel="0" collapsed="false">
      <c r="D780" s="20"/>
      <c r="E780" s="20"/>
      <c r="F780" s="20"/>
    </row>
    <row r="781" customFormat="false" ht="12" hidden="false" customHeight="true" outlineLevel="0" collapsed="false">
      <c r="D781" s="20"/>
      <c r="E781" s="20"/>
      <c r="F781" s="20"/>
    </row>
    <row r="782" customFormat="false" ht="12" hidden="false" customHeight="true" outlineLevel="0" collapsed="false">
      <c r="D782" s="20"/>
      <c r="E782" s="20"/>
      <c r="F782" s="20"/>
    </row>
    <row r="783" customFormat="false" ht="12" hidden="false" customHeight="true" outlineLevel="0" collapsed="false">
      <c r="D783" s="20"/>
      <c r="E783" s="20"/>
      <c r="F783" s="20"/>
    </row>
    <row r="784" customFormat="false" ht="12" hidden="false" customHeight="true" outlineLevel="0" collapsed="false">
      <c r="D784" s="20"/>
      <c r="E784" s="20"/>
      <c r="F784" s="20"/>
    </row>
    <row r="785" customFormat="false" ht="12" hidden="false" customHeight="true" outlineLevel="0" collapsed="false">
      <c r="D785" s="20"/>
      <c r="E785" s="20"/>
      <c r="F785" s="20"/>
    </row>
    <row r="786" customFormat="false" ht="12" hidden="false" customHeight="true" outlineLevel="0" collapsed="false">
      <c r="D786" s="20"/>
      <c r="E786" s="20"/>
      <c r="F786" s="20"/>
    </row>
    <row r="787" customFormat="false" ht="12" hidden="false" customHeight="true" outlineLevel="0" collapsed="false">
      <c r="D787" s="20"/>
      <c r="E787" s="20"/>
      <c r="F787" s="20"/>
    </row>
    <row r="788" customFormat="false" ht="12" hidden="false" customHeight="true" outlineLevel="0" collapsed="false">
      <c r="D788" s="20"/>
      <c r="E788" s="20"/>
      <c r="F788" s="20"/>
    </row>
    <row r="789" customFormat="false" ht="12" hidden="false" customHeight="true" outlineLevel="0" collapsed="false">
      <c r="D789" s="20"/>
      <c r="E789" s="20"/>
      <c r="F789" s="20"/>
    </row>
    <row r="790" customFormat="false" ht="12" hidden="false" customHeight="true" outlineLevel="0" collapsed="false">
      <c r="D790" s="20"/>
      <c r="E790" s="20"/>
      <c r="F790" s="20"/>
    </row>
    <row r="791" customFormat="false" ht="12" hidden="false" customHeight="true" outlineLevel="0" collapsed="false">
      <c r="D791" s="20"/>
      <c r="E791" s="20"/>
      <c r="F791" s="20"/>
    </row>
    <row r="792" customFormat="false" ht="12" hidden="false" customHeight="true" outlineLevel="0" collapsed="false">
      <c r="D792" s="20"/>
      <c r="E792" s="20"/>
      <c r="F792" s="20"/>
    </row>
    <row r="793" customFormat="false" ht="12" hidden="false" customHeight="true" outlineLevel="0" collapsed="false">
      <c r="D793" s="20"/>
      <c r="E793" s="20"/>
      <c r="F793" s="20"/>
    </row>
    <row r="794" customFormat="false" ht="12" hidden="false" customHeight="true" outlineLevel="0" collapsed="false">
      <c r="D794" s="20"/>
      <c r="E794" s="20"/>
      <c r="F794" s="20"/>
    </row>
    <row r="795" customFormat="false" ht="12" hidden="false" customHeight="true" outlineLevel="0" collapsed="false">
      <c r="D795" s="20"/>
      <c r="E795" s="20"/>
      <c r="F795" s="20"/>
    </row>
    <row r="796" customFormat="false" ht="12" hidden="false" customHeight="true" outlineLevel="0" collapsed="false">
      <c r="D796" s="20"/>
      <c r="E796" s="20"/>
      <c r="F796" s="20"/>
    </row>
    <row r="797" customFormat="false" ht="12" hidden="false" customHeight="true" outlineLevel="0" collapsed="false">
      <c r="D797" s="20"/>
      <c r="E797" s="20"/>
      <c r="F797" s="20"/>
    </row>
    <row r="798" customFormat="false" ht="12" hidden="false" customHeight="true" outlineLevel="0" collapsed="false">
      <c r="D798" s="20"/>
      <c r="E798" s="20"/>
      <c r="F798" s="20"/>
    </row>
    <row r="799" customFormat="false" ht="12" hidden="false" customHeight="true" outlineLevel="0" collapsed="false">
      <c r="D799" s="20"/>
      <c r="E799" s="20"/>
      <c r="F799" s="20"/>
    </row>
    <row r="800" customFormat="false" ht="12" hidden="false" customHeight="true" outlineLevel="0" collapsed="false">
      <c r="D800" s="20"/>
      <c r="E800" s="20"/>
      <c r="F800" s="20"/>
    </row>
    <row r="801" customFormat="false" ht="12" hidden="false" customHeight="true" outlineLevel="0" collapsed="false">
      <c r="D801" s="20"/>
      <c r="E801" s="20"/>
      <c r="F801" s="20"/>
    </row>
    <row r="802" customFormat="false" ht="12" hidden="false" customHeight="true" outlineLevel="0" collapsed="false">
      <c r="D802" s="20"/>
      <c r="E802" s="20"/>
      <c r="F802" s="20"/>
    </row>
    <row r="803" customFormat="false" ht="12" hidden="false" customHeight="true" outlineLevel="0" collapsed="false">
      <c r="D803" s="20"/>
      <c r="E803" s="20"/>
      <c r="F803" s="20"/>
    </row>
    <row r="804" customFormat="false" ht="12" hidden="false" customHeight="true" outlineLevel="0" collapsed="false">
      <c r="D804" s="20"/>
      <c r="E804" s="20"/>
      <c r="F804" s="20"/>
    </row>
    <row r="805" customFormat="false" ht="12" hidden="false" customHeight="true" outlineLevel="0" collapsed="false">
      <c r="D805" s="20"/>
      <c r="E805" s="20"/>
      <c r="F805" s="20"/>
    </row>
    <row r="806" customFormat="false" ht="12" hidden="false" customHeight="true" outlineLevel="0" collapsed="false">
      <c r="D806" s="20"/>
      <c r="E806" s="20"/>
      <c r="F806" s="20"/>
    </row>
    <row r="807" customFormat="false" ht="12" hidden="false" customHeight="true" outlineLevel="0" collapsed="false">
      <c r="D807" s="20"/>
      <c r="E807" s="20"/>
      <c r="F807" s="20"/>
    </row>
    <row r="808" customFormat="false" ht="12" hidden="false" customHeight="true" outlineLevel="0" collapsed="false">
      <c r="D808" s="20"/>
      <c r="E808" s="20"/>
      <c r="F808" s="20"/>
    </row>
    <row r="809" customFormat="false" ht="12" hidden="false" customHeight="true" outlineLevel="0" collapsed="false">
      <c r="D809" s="20"/>
      <c r="E809" s="20"/>
      <c r="F809" s="20"/>
    </row>
    <row r="810" customFormat="false" ht="12" hidden="false" customHeight="true" outlineLevel="0" collapsed="false">
      <c r="D810" s="20"/>
      <c r="E810" s="20"/>
      <c r="F810" s="20"/>
    </row>
    <row r="811" customFormat="false" ht="12" hidden="false" customHeight="true" outlineLevel="0" collapsed="false">
      <c r="D811" s="20"/>
      <c r="E811" s="20"/>
      <c r="F811" s="20"/>
    </row>
    <row r="812" customFormat="false" ht="12" hidden="false" customHeight="true" outlineLevel="0" collapsed="false">
      <c r="D812" s="20"/>
      <c r="E812" s="20"/>
      <c r="F812" s="20"/>
    </row>
    <row r="813" customFormat="false" ht="12" hidden="false" customHeight="true" outlineLevel="0" collapsed="false">
      <c r="D813" s="20"/>
      <c r="E813" s="20"/>
      <c r="F813" s="20"/>
    </row>
    <row r="814" customFormat="false" ht="12" hidden="false" customHeight="true" outlineLevel="0" collapsed="false">
      <c r="D814" s="20"/>
      <c r="E814" s="20"/>
      <c r="F814" s="20"/>
    </row>
    <row r="815" customFormat="false" ht="12" hidden="false" customHeight="true" outlineLevel="0" collapsed="false">
      <c r="D815" s="20"/>
      <c r="E815" s="20"/>
      <c r="F815" s="20"/>
    </row>
    <row r="816" customFormat="false" ht="12" hidden="false" customHeight="true" outlineLevel="0" collapsed="false">
      <c r="D816" s="20"/>
      <c r="E816" s="20"/>
      <c r="F816" s="20"/>
    </row>
    <row r="817" customFormat="false" ht="12" hidden="false" customHeight="true" outlineLevel="0" collapsed="false">
      <c r="D817" s="20"/>
      <c r="E817" s="20"/>
      <c r="F817" s="20"/>
    </row>
    <row r="818" customFormat="false" ht="12" hidden="false" customHeight="true" outlineLevel="0" collapsed="false">
      <c r="D818" s="20"/>
      <c r="E818" s="20"/>
      <c r="F818" s="20"/>
    </row>
    <row r="819" customFormat="false" ht="12" hidden="false" customHeight="true" outlineLevel="0" collapsed="false">
      <c r="D819" s="20"/>
      <c r="E819" s="20"/>
      <c r="F819" s="20"/>
    </row>
    <row r="820" customFormat="false" ht="12" hidden="false" customHeight="true" outlineLevel="0" collapsed="false">
      <c r="D820" s="20"/>
      <c r="E820" s="20"/>
      <c r="F820" s="20"/>
    </row>
    <row r="821" customFormat="false" ht="12" hidden="false" customHeight="true" outlineLevel="0" collapsed="false">
      <c r="D821" s="20"/>
      <c r="E821" s="20"/>
      <c r="F821" s="20"/>
    </row>
    <row r="822" customFormat="false" ht="12" hidden="false" customHeight="true" outlineLevel="0" collapsed="false">
      <c r="D822" s="20"/>
      <c r="E822" s="20"/>
      <c r="F822" s="20"/>
    </row>
    <row r="823" customFormat="false" ht="12" hidden="false" customHeight="true" outlineLevel="0" collapsed="false">
      <c r="D823" s="20"/>
      <c r="E823" s="20"/>
      <c r="F823" s="20"/>
    </row>
    <row r="824" customFormat="false" ht="12" hidden="false" customHeight="true" outlineLevel="0" collapsed="false">
      <c r="D824" s="20"/>
      <c r="E824" s="20"/>
      <c r="F824" s="20"/>
    </row>
    <row r="825" customFormat="false" ht="12" hidden="false" customHeight="true" outlineLevel="0" collapsed="false">
      <c r="D825" s="20"/>
      <c r="E825" s="20"/>
      <c r="F825" s="20"/>
    </row>
    <row r="826" customFormat="false" ht="12" hidden="false" customHeight="true" outlineLevel="0" collapsed="false">
      <c r="D826" s="20"/>
      <c r="E826" s="20"/>
      <c r="F826" s="20"/>
    </row>
    <row r="827" customFormat="false" ht="12" hidden="false" customHeight="true" outlineLevel="0" collapsed="false">
      <c r="D827" s="20"/>
      <c r="E827" s="20"/>
      <c r="F827" s="20"/>
    </row>
    <row r="828" customFormat="false" ht="12" hidden="false" customHeight="true" outlineLevel="0" collapsed="false">
      <c r="D828" s="20"/>
      <c r="E828" s="20"/>
      <c r="F828" s="20"/>
    </row>
    <row r="829" customFormat="false" ht="12" hidden="false" customHeight="true" outlineLevel="0" collapsed="false">
      <c r="D829" s="20"/>
      <c r="E829" s="20"/>
      <c r="F829" s="20"/>
    </row>
    <row r="830" customFormat="false" ht="12" hidden="false" customHeight="true" outlineLevel="0" collapsed="false">
      <c r="D830" s="20"/>
      <c r="E830" s="20"/>
      <c r="F830" s="20"/>
    </row>
    <row r="831" customFormat="false" ht="12" hidden="false" customHeight="true" outlineLevel="0" collapsed="false">
      <c r="D831" s="20"/>
      <c r="E831" s="20"/>
      <c r="F831" s="20"/>
    </row>
    <row r="832" customFormat="false" ht="12" hidden="false" customHeight="true" outlineLevel="0" collapsed="false">
      <c r="D832" s="20"/>
      <c r="E832" s="20"/>
      <c r="F832" s="20"/>
    </row>
    <row r="833" customFormat="false" ht="12" hidden="false" customHeight="true" outlineLevel="0" collapsed="false">
      <c r="D833" s="20"/>
      <c r="E833" s="20"/>
      <c r="F833" s="20"/>
    </row>
    <row r="834" customFormat="false" ht="12" hidden="false" customHeight="true" outlineLevel="0" collapsed="false">
      <c r="D834" s="20"/>
      <c r="E834" s="20"/>
      <c r="F834" s="20"/>
    </row>
    <row r="835" customFormat="false" ht="12" hidden="false" customHeight="true" outlineLevel="0" collapsed="false">
      <c r="D835" s="20"/>
      <c r="E835" s="20"/>
      <c r="F835" s="20"/>
    </row>
    <row r="836" customFormat="false" ht="12" hidden="false" customHeight="true" outlineLevel="0" collapsed="false">
      <c r="D836" s="20"/>
      <c r="E836" s="20"/>
      <c r="F836" s="20"/>
    </row>
    <row r="837" customFormat="false" ht="12" hidden="false" customHeight="true" outlineLevel="0" collapsed="false">
      <c r="D837" s="20"/>
      <c r="E837" s="20"/>
      <c r="F837" s="20"/>
    </row>
    <row r="838" customFormat="false" ht="12" hidden="false" customHeight="true" outlineLevel="0" collapsed="false">
      <c r="D838" s="20"/>
      <c r="E838" s="20"/>
      <c r="F838" s="20"/>
    </row>
    <row r="839" customFormat="false" ht="12" hidden="false" customHeight="true" outlineLevel="0" collapsed="false">
      <c r="D839" s="20"/>
      <c r="E839" s="20"/>
      <c r="F839" s="20"/>
    </row>
    <row r="840" customFormat="false" ht="12" hidden="false" customHeight="true" outlineLevel="0" collapsed="false">
      <c r="D840" s="20"/>
      <c r="E840" s="20"/>
      <c r="F840" s="20"/>
    </row>
    <row r="841" customFormat="false" ht="12" hidden="false" customHeight="true" outlineLevel="0" collapsed="false">
      <c r="D841" s="20"/>
      <c r="E841" s="20"/>
      <c r="F841" s="20"/>
    </row>
    <row r="842" customFormat="false" ht="12" hidden="false" customHeight="true" outlineLevel="0" collapsed="false">
      <c r="D842" s="20"/>
      <c r="E842" s="20"/>
      <c r="F842" s="20"/>
    </row>
    <row r="843" customFormat="false" ht="12" hidden="false" customHeight="true" outlineLevel="0" collapsed="false">
      <c r="D843" s="20"/>
      <c r="E843" s="20"/>
      <c r="F843" s="20"/>
    </row>
    <row r="844" customFormat="false" ht="12" hidden="false" customHeight="true" outlineLevel="0" collapsed="false">
      <c r="D844" s="20"/>
      <c r="E844" s="20"/>
      <c r="F844" s="20"/>
    </row>
    <row r="845" customFormat="false" ht="12" hidden="false" customHeight="true" outlineLevel="0" collapsed="false">
      <c r="D845" s="20"/>
      <c r="E845" s="20"/>
      <c r="F845" s="20"/>
    </row>
    <row r="846" customFormat="false" ht="12" hidden="false" customHeight="true" outlineLevel="0" collapsed="false">
      <c r="D846" s="20"/>
      <c r="E846" s="20"/>
      <c r="F846" s="20"/>
    </row>
    <row r="847" customFormat="false" ht="12" hidden="false" customHeight="true" outlineLevel="0" collapsed="false">
      <c r="D847" s="20"/>
      <c r="E847" s="20"/>
      <c r="F847" s="20"/>
    </row>
    <row r="848" customFormat="false" ht="12" hidden="false" customHeight="true" outlineLevel="0" collapsed="false">
      <c r="D848" s="20"/>
      <c r="E848" s="20"/>
      <c r="F848" s="20"/>
    </row>
    <row r="849" customFormat="false" ht="12" hidden="false" customHeight="true" outlineLevel="0" collapsed="false">
      <c r="D849" s="20"/>
      <c r="E849" s="20"/>
      <c r="F849" s="20"/>
    </row>
    <row r="850" customFormat="false" ht="12" hidden="false" customHeight="true" outlineLevel="0" collapsed="false">
      <c r="D850" s="20"/>
      <c r="E850" s="20"/>
      <c r="F850" s="20"/>
    </row>
    <row r="851" customFormat="false" ht="12" hidden="false" customHeight="true" outlineLevel="0" collapsed="false">
      <c r="D851" s="20"/>
      <c r="E851" s="20"/>
      <c r="F851" s="20"/>
    </row>
    <row r="852" customFormat="false" ht="12" hidden="false" customHeight="true" outlineLevel="0" collapsed="false">
      <c r="D852" s="20"/>
      <c r="E852" s="20"/>
      <c r="F852" s="20"/>
    </row>
    <row r="853" customFormat="false" ht="12" hidden="false" customHeight="true" outlineLevel="0" collapsed="false">
      <c r="D853" s="20"/>
      <c r="E853" s="20"/>
      <c r="F853" s="20"/>
    </row>
    <row r="854" customFormat="false" ht="12" hidden="false" customHeight="true" outlineLevel="0" collapsed="false">
      <c r="D854" s="20"/>
      <c r="E854" s="20"/>
      <c r="F854" s="20"/>
    </row>
    <row r="855" customFormat="false" ht="12" hidden="false" customHeight="true" outlineLevel="0" collapsed="false">
      <c r="D855" s="20"/>
      <c r="E855" s="20"/>
      <c r="F855" s="20"/>
    </row>
    <row r="856" customFormat="false" ht="12" hidden="false" customHeight="true" outlineLevel="0" collapsed="false">
      <c r="D856" s="20"/>
      <c r="E856" s="20"/>
      <c r="F856" s="20"/>
    </row>
    <row r="857" customFormat="false" ht="12" hidden="false" customHeight="true" outlineLevel="0" collapsed="false">
      <c r="D857" s="20"/>
      <c r="E857" s="20"/>
      <c r="F857" s="20"/>
    </row>
    <row r="858" customFormat="false" ht="12" hidden="false" customHeight="true" outlineLevel="0" collapsed="false">
      <c r="D858" s="20"/>
      <c r="E858" s="20"/>
      <c r="F858" s="20"/>
    </row>
    <row r="859" customFormat="false" ht="12" hidden="false" customHeight="true" outlineLevel="0" collapsed="false">
      <c r="D859" s="20"/>
      <c r="E859" s="20"/>
      <c r="F859" s="20"/>
    </row>
    <row r="860" customFormat="false" ht="12" hidden="false" customHeight="true" outlineLevel="0" collapsed="false">
      <c r="D860" s="20"/>
      <c r="E860" s="20"/>
      <c r="F860" s="20"/>
    </row>
    <row r="861" customFormat="false" ht="12" hidden="false" customHeight="true" outlineLevel="0" collapsed="false">
      <c r="D861" s="20"/>
      <c r="E861" s="20"/>
      <c r="F861" s="20"/>
    </row>
    <row r="862" customFormat="false" ht="12" hidden="false" customHeight="true" outlineLevel="0" collapsed="false">
      <c r="D862" s="20"/>
      <c r="E862" s="20"/>
      <c r="F862" s="20"/>
    </row>
    <row r="863" customFormat="false" ht="12" hidden="false" customHeight="true" outlineLevel="0" collapsed="false">
      <c r="D863" s="20"/>
      <c r="E863" s="20"/>
      <c r="F863" s="20"/>
    </row>
    <row r="864" customFormat="false" ht="12" hidden="false" customHeight="true" outlineLevel="0" collapsed="false">
      <c r="D864" s="20"/>
      <c r="E864" s="20"/>
      <c r="F864" s="20"/>
    </row>
    <row r="865" customFormat="false" ht="12" hidden="false" customHeight="true" outlineLevel="0" collapsed="false">
      <c r="D865" s="20"/>
      <c r="E865" s="20"/>
      <c r="F865" s="20"/>
    </row>
    <row r="866" customFormat="false" ht="12" hidden="false" customHeight="true" outlineLevel="0" collapsed="false">
      <c r="D866" s="20"/>
      <c r="E866" s="20"/>
      <c r="F866" s="20"/>
    </row>
    <row r="867" customFormat="false" ht="12" hidden="false" customHeight="true" outlineLevel="0" collapsed="false">
      <c r="D867" s="20"/>
      <c r="E867" s="20"/>
      <c r="F867" s="20"/>
    </row>
    <row r="868" customFormat="false" ht="12" hidden="false" customHeight="true" outlineLevel="0" collapsed="false">
      <c r="D868" s="20"/>
      <c r="E868" s="20"/>
      <c r="F868" s="20"/>
    </row>
    <row r="869" customFormat="false" ht="12" hidden="false" customHeight="true" outlineLevel="0" collapsed="false">
      <c r="D869" s="20"/>
      <c r="E869" s="20"/>
      <c r="F869" s="20"/>
    </row>
    <row r="870" customFormat="false" ht="12" hidden="false" customHeight="true" outlineLevel="0" collapsed="false">
      <c r="D870" s="20"/>
      <c r="E870" s="20"/>
      <c r="F870" s="20"/>
    </row>
    <row r="871" customFormat="false" ht="12" hidden="false" customHeight="true" outlineLevel="0" collapsed="false">
      <c r="D871" s="20"/>
      <c r="E871" s="20"/>
      <c r="F871" s="20"/>
    </row>
    <row r="872" customFormat="false" ht="12" hidden="false" customHeight="true" outlineLevel="0" collapsed="false">
      <c r="D872" s="20"/>
      <c r="E872" s="20"/>
      <c r="F872" s="20"/>
    </row>
    <row r="873" customFormat="false" ht="12" hidden="false" customHeight="true" outlineLevel="0" collapsed="false">
      <c r="D873" s="20"/>
      <c r="E873" s="20"/>
      <c r="F873" s="20"/>
    </row>
    <row r="874" customFormat="false" ht="12" hidden="false" customHeight="true" outlineLevel="0" collapsed="false">
      <c r="D874" s="20"/>
      <c r="E874" s="20"/>
      <c r="F874" s="20"/>
    </row>
    <row r="875" customFormat="false" ht="12" hidden="false" customHeight="true" outlineLevel="0" collapsed="false">
      <c r="D875" s="20"/>
      <c r="E875" s="20"/>
      <c r="F875" s="20"/>
    </row>
    <row r="876" customFormat="false" ht="12" hidden="false" customHeight="true" outlineLevel="0" collapsed="false">
      <c r="D876" s="20"/>
      <c r="E876" s="20"/>
      <c r="F876" s="20"/>
    </row>
    <row r="877" customFormat="false" ht="12" hidden="false" customHeight="true" outlineLevel="0" collapsed="false">
      <c r="D877" s="20"/>
      <c r="E877" s="20"/>
      <c r="F877" s="20"/>
    </row>
    <row r="878" customFormat="false" ht="12" hidden="false" customHeight="true" outlineLevel="0" collapsed="false">
      <c r="D878" s="20"/>
      <c r="E878" s="20"/>
      <c r="F878" s="20"/>
    </row>
    <row r="879" customFormat="false" ht="12" hidden="false" customHeight="true" outlineLevel="0" collapsed="false">
      <c r="D879" s="20"/>
      <c r="E879" s="20"/>
      <c r="F879" s="20"/>
    </row>
    <row r="880" customFormat="false" ht="12" hidden="false" customHeight="true" outlineLevel="0" collapsed="false">
      <c r="D880" s="20"/>
      <c r="E880" s="20"/>
      <c r="F880" s="20"/>
    </row>
    <row r="881" customFormat="false" ht="12" hidden="false" customHeight="true" outlineLevel="0" collapsed="false">
      <c r="D881" s="20"/>
      <c r="E881" s="20"/>
      <c r="F881" s="20"/>
    </row>
    <row r="882" customFormat="false" ht="12" hidden="false" customHeight="true" outlineLevel="0" collapsed="false">
      <c r="D882" s="20"/>
      <c r="E882" s="20"/>
      <c r="F882" s="20"/>
    </row>
    <row r="883" customFormat="false" ht="12" hidden="false" customHeight="true" outlineLevel="0" collapsed="false">
      <c r="D883" s="20"/>
      <c r="E883" s="20"/>
      <c r="F883" s="20"/>
    </row>
    <row r="884" customFormat="false" ht="12" hidden="false" customHeight="true" outlineLevel="0" collapsed="false">
      <c r="D884" s="20"/>
      <c r="E884" s="20"/>
      <c r="F884" s="20"/>
    </row>
    <row r="885" customFormat="false" ht="12" hidden="false" customHeight="true" outlineLevel="0" collapsed="false">
      <c r="D885" s="20"/>
      <c r="E885" s="20"/>
      <c r="F885" s="20"/>
    </row>
    <row r="886" customFormat="false" ht="12" hidden="false" customHeight="true" outlineLevel="0" collapsed="false">
      <c r="D886" s="20"/>
      <c r="E886" s="20"/>
      <c r="F886" s="20"/>
    </row>
    <row r="887" customFormat="false" ht="12" hidden="false" customHeight="true" outlineLevel="0" collapsed="false">
      <c r="D887" s="20"/>
      <c r="E887" s="20"/>
      <c r="F887" s="20"/>
    </row>
    <row r="888" customFormat="false" ht="12" hidden="false" customHeight="true" outlineLevel="0" collapsed="false">
      <c r="D888" s="20"/>
      <c r="E888" s="20"/>
      <c r="F888" s="20"/>
    </row>
    <row r="889" customFormat="false" ht="12" hidden="false" customHeight="true" outlineLevel="0" collapsed="false">
      <c r="D889" s="20"/>
      <c r="E889" s="20"/>
      <c r="F889" s="20"/>
    </row>
    <row r="890" customFormat="false" ht="12" hidden="false" customHeight="true" outlineLevel="0" collapsed="false">
      <c r="D890" s="20"/>
      <c r="E890" s="20"/>
      <c r="F890" s="20"/>
    </row>
    <row r="891" customFormat="false" ht="12" hidden="false" customHeight="true" outlineLevel="0" collapsed="false">
      <c r="D891" s="20"/>
      <c r="E891" s="20"/>
      <c r="F891" s="20"/>
    </row>
    <row r="892" customFormat="false" ht="12" hidden="false" customHeight="true" outlineLevel="0" collapsed="false">
      <c r="D892" s="20"/>
      <c r="E892" s="20"/>
      <c r="F892" s="20"/>
    </row>
    <row r="893" customFormat="false" ht="12" hidden="false" customHeight="true" outlineLevel="0" collapsed="false">
      <c r="D893" s="20"/>
      <c r="E893" s="20"/>
      <c r="F893" s="20"/>
    </row>
    <row r="894" customFormat="false" ht="12" hidden="false" customHeight="true" outlineLevel="0" collapsed="false">
      <c r="D894" s="20"/>
      <c r="E894" s="20"/>
      <c r="F894" s="20"/>
    </row>
    <row r="895" customFormat="false" ht="12" hidden="false" customHeight="true" outlineLevel="0" collapsed="false">
      <c r="D895" s="20"/>
      <c r="E895" s="20"/>
      <c r="F895" s="20"/>
    </row>
    <row r="896" customFormat="false" ht="12" hidden="false" customHeight="true" outlineLevel="0" collapsed="false">
      <c r="D896" s="20"/>
      <c r="E896" s="20"/>
      <c r="F896" s="20"/>
    </row>
    <row r="897" customFormat="false" ht="12" hidden="false" customHeight="true" outlineLevel="0" collapsed="false">
      <c r="D897" s="20"/>
      <c r="E897" s="20"/>
      <c r="F897" s="20"/>
    </row>
    <row r="898" customFormat="false" ht="12" hidden="false" customHeight="true" outlineLevel="0" collapsed="false">
      <c r="D898" s="20"/>
      <c r="E898" s="20"/>
      <c r="F898" s="20"/>
    </row>
    <row r="899" customFormat="false" ht="12" hidden="false" customHeight="true" outlineLevel="0" collapsed="false">
      <c r="D899" s="20"/>
      <c r="E899" s="20"/>
      <c r="F899" s="20"/>
    </row>
    <row r="900" customFormat="false" ht="12" hidden="false" customHeight="true" outlineLevel="0" collapsed="false">
      <c r="D900" s="20"/>
      <c r="E900" s="20"/>
      <c r="F900" s="20"/>
    </row>
    <row r="901" customFormat="false" ht="12" hidden="false" customHeight="true" outlineLevel="0" collapsed="false">
      <c r="D901" s="20"/>
      <c r="E901" s="20"/>
      <c r="F901" s="20"/>
    </row>
    <row r="902" customFormat="false" ht="12" hidden="false" customHeight="true" outlineLevel="0" collapsed="false">
      <c r="D902" s="20"/>
      <c r="E902" s="20"/>
      <c r="F902" s="20"/>
    </row>
    <row r="903" customFormat="false" ht="12" hidden="false" customHeight="true" outlineLevel="0" collapsed="false">
      <c r="D903" s="20"/>
      <c r="E903" s="20"/>
      <c r="F903" s="20"/>
    </row>
    <row r="904" customFormat="false" ht="12" hidden="false" customHeight="true" outlineLevel="0" collapsed="false">
      <c r="D904" s="20"/>
      <c r="E904" s="20"/>
      <c r="F904" s="20"/>
    </row>
    <row r="905" customFormat="false" ht="12" hidden="false" customHeight="true" outlineLevel="0" collapsed="false">
      <c r="D905" s="20"/>
      <c r="E905" s="20"/>
      <c r="F905" s="20"/>
    </row>
    <row r="906" customFormat="false" ht="12" hidden="false" customHeight="true" outlineLevel="0" collapsed="false">
      <c r="D906" s="20"/>
      <c r="E906" s="20"/>
      <c r="F906" s="20"/>
    </row>
    <row r="907" customFormat="false" ht="12" hidden="false" customHeight="true" outlineLevel="0" collapsed="false">
      <c r="D907" s="20"/>
      <c r="E907" s="20"/>
      <c r="F907" s="20"/>
    </row>
    <row r="908" customFormat="false" ht="12" hidden="false" customHeight="true" outlineLevel="0" collapsed="false">
      <c r="D908" s="20"/>
      <c r="E908" s="20"/>
      <c r="F908" s="20"/>
    </row>
    <row r="909" customFormat="false" ht="12" hidden="false" customHeight="true" outlineLevel="0" collapsed="false">
      <c r="D909" s="20"/>
      <c r="E909" s="20"/>
      <c r="F909" s="20"/>
    </row>
    <row r="910" customFormat="false" ht="12" hidden="false" customHeight="true" outlineLevel="0" collapsed="false">
      <c r="D910" s="20"/>
      <c r="E910" s="20"/>
      <c r="F910" s="20"/>
    </row>
    <row r="911" customFormat="false" ht="12" hidden="false" customHeight="true" outlineLevel="0" collapsed="false">
      <c r="D911" s="20"/>
      <c r="E911" s="20"/>
      <c r="F911" s="20"/>
    </row>
    <row r="912" customFormat="false" ht="12" hidden="false" customHeight="true" outlineLevel="0" collapsed="false">
      <c r="D912" s="20"/>
      <c r="E912" s="20"/>
      <c r="F912" s="20"/>
    </row>
    <row r="913" customFormat="false" ht="12" hidden="false" customHeight="true" outlineLevel="0" collapsed="false">
      <c r="D913" s="20"/>
      <c r="E913" s="20"/>
      <c r="F913" s="20"/>
    </row>
    <row r="914" customFormat="false" ht="12" hidden="false" customHeight="true" outlineLevel="0" collapsed="false">
      <c r="D914" s="20"/>
      <c r="E914" s="20"/>
      <c r="F914" s="20"/>
    </row>
    <row r="915" customFormat="false" ht="12" hidden="false" customHeight="true" outlineLevel="0" collapsed="false">
      <c r="D915" s="20"/>
      <c r="E915" s="20"/>
      <c r="F915" s="20"/>
    </row>
    <row r="916" customFormat="false" ht="12" hidden="false" customHeight="true" outlineLevel="0" collapsed="false">
      <c r="D916" s="20"/>
      <c r="E916" s="20"/>
      <c r="F916" s="20"/>
    </row>
    <row r="917" customFormat="false" ht="12" hidden="false" customHeight="true" outlineLevel="0" collapsed="false">
      <c r="D917" s="20"/>
      <c r="E917" s="20"/>
      <c r="F917" s="20"/>
    </row>
    <row r="918" customFormat="false" ht="12" hidden="false" customHeight="true" outlineLevel="0" collapsed="false">
      <c r="D918" s="20"/>
      <c r="E918" s="20"/>
      <c r="F918" s="20"/>
    </row>
    <row r="919" customFormat="false" ht="12" hidden="false" customHeight="true" outlineLevel="0" collapsed="false">
      <c r="D919" s="20"/>
      <c r="E919" s="20"/>
      <c r="F919" s="20"/>
    </row>
    <row r="920" customFormat="false" ht="12" hidden="false" customHeight="true" outlineLevel="0" collapsed="false">
      <c r="D920" s="20"/>
      <c r="E920" s="20"/>
      <c r="F920" s="20"/>
    </row>
    <row r="921" customFormat="false" ht="12" hidden="false" customHeight="true" outlineLevel="0" collapsed="false">
      <c r="D921" s="20"/>
      <c r="E921" s="20"/>
      <c r="F921" s="20"/>
    </row>
    <row r="922" customFormat="false" ht="12" hidden="false" customHeight="true" outlineLevel="0" collapsed="false">
      <c r="D922" s="20"/>
      <c r="E922" s="20"/>
      <c r="F922" s="20"/>
    </row>
    <row r="923" customFormat="false" ht="12" hidden="false" customHeight="true" outlineLevel="0" collapsed="false">
      <c r="D923" s="20"/>
      <c r="E923" s="20"/>
      <c r="F923" s="20"/>
    </row>
    <row r="924" customFormat="false" ht="12" hidden="false" customHeight="true" outlineLevel="0" collapsed="false">
      <c r="D924" s="20"/>
      <c r="E924" s="20"/>
      <c r="F924" s="20"/>
    </row>
    <row r="925" customFormat="false" ht="12" hidden="false" customHeight="true" outlineLevel="0" collapsed="false">
      <c r="D925" s="20"/>
      <c r="E925" s="20"/>
      <c r="F925" s="20"/>
    </row>
    <row r="926" customFormat="false" ht="12" hidden="false" customHeight="true" outlineLevel="0" collapsed="false">
      <c r="D926" s="20"/>
      <c r="E926" s="20"/>
      <c r="F926" s="20"/>
    </row>
    <row r="927" customFormat="false" ht="12" hidden="false" customHeight="true" outlineLevel="0" collapsed="false">
      <c r="D927" s="20"/>
      <c r="E927" s="20"/>
      <c r="F927" s="20"/>
    </row>
    <row r="928" customFormat="false" ht="12" hidden="false" customHeight="true" outlineLevel="0" collapsed="false">
      <c r="D928" s="20"/>
      <c r="E928" s="20"/>
      <c r="F928" s="20"/>
    </row>
    <row r="929" customFormat="false" ht="12" hidden="false" customHeight="true" outlineLevel="0" collapsed="false">
      <c r="D929" s="20"/>
      <c r="E929" s="20"/>
      <c r="F929" s="20"/>
    </row>
    <row r="930" customFormat="false" ht="12" hidden="false" customHeight="true" outlineLevel="0" collapsed="false">
      <c r="D930" s="20"/>
      <c r="E930" s="20"/>
      <c r="F930" s="20"/>
    </row>
    <row r="931" customFormat="false" ht="12" hidden="false" customHeight="true" outlineLevel="0" collapsed="false">
      <c r="D931" s="20"/>
      <c r="E931" s="20"/>
      <c r="F931" s="20"/>
    </row>
    <row r="932" customFormat="false" ht="12" hidden="false" customHeight="true" outlineLevel="0" collapsed="false">
      <c r="D932" s="20"/>
      <c r="E932" s="20"/>
      <c r="F932" s="20"/>
    </row>
    <row r="933" customFormat="false" ht="12" hidden="false" customHeight="true" outlineLevel="0" collapsed="false">
      <c r="D933" s="20"/>
      <c r="E933" s="20"/>
      <c r="F933" s="20"/>
    </row>
    <row r="934" customFormat="false" ht="12" hidden="false" customHeight="true" outlineLevel="0" collapsed="false">
      <c r="D934" s="20"/>
      <c r="E934" s="20"/>
      <c r="F934" s="20"/>
    </row>
    <row r="935" customFormat="false" ht="12" hidden="false" customHeight="true" outlineLevel="0" collapsed="false">
      <c r="D935" s="20"/>
      <c r="E935" s="20"/>
      <c r="F935" s="20"/>
    </row>
    <row r="936" customFormat="false" ht="12" hidden="false" customHeight="true" outlineLevel="0" collapsed="false">
      <c r="D936" s="20"/>
      <c r="E936" s="20"/>
      <c r="F936" s="20"/>
    </row>
    <row r="937" customFormat="false" ht="12" hidden="false" customHeight="true" outlineLevel="0" collapsed="false">
      <c r="D937" s="20"/>
      <c r="E937" s="20"/>
      <c r="F937" s="20"/>
    </row>
    <row r="938" customFormat="false" ht="12" hidden="false" customHeight="true" outlineLevel="0" collapsed="false">
      <c r="D938" s="20"/>
      <c r="E938" s="20"/>
      <c r="F938" s="20"/>
    </row>
    <row r="939" customFormat="false" ht="12" hidden="false" customHeight="true" outlineLevel="0" collapsed="false">
      <c r="D939" s="20"/>
      <c r="E939" s="20"/>
      <c r="F939" s="20"/>
    </row>
    <row r="940" customFormat="false" ht="12" hidden="false" customHeight="true" outlineLevel="0" collapsed="false">
      <c r="D940" s="20"/>
      <c r="E940" s="20"/>
      <c r="F940" s="20"/>
    </row>
    <row r="941" customFormat="false" ht="12" hidden="false" customHeight="true" outlineLevel="0" collapsed="false">
      <c r="D941" s="20"/>
      <c r="E941" s="20"/>
      <c r="F941" s="20"/>
    </row>
    <row r="942" customFormat="false" ht="12" hidden="false" customHeight="true" outlineLevel="0" collapsed="false">
      <c r="D942" s="20"/>
      <c r="E942" s="20"/>
      <c r="F942" s="20"/>
    </row>
    <row r="943" customFormat="false" ht="12" hidden="false" customHeight="true" outlineLevel="0" collapsed="false">
      <c r="D943" s="20"/>
      <c r="E943" s="20"/>
      <c r="F943" s="20"/>
    </row>
    <row r="944" customFormat="false" ht="12" hidden="false" customHeight="true" outlineLevel="0" collapsed="false">
      <c r="D944" s="20"/>
      <c r="E944" s="20"/>
      <c r="F944" s="20"/>
    </row>
    <row r="945" customFormat="false" ht="12" hidden="false" customHeight="true" outlineLevel="0" collapsed="false">
      <c r="D945" s="20"/>
      <c r="E945" s="20"/>
      <c r="F945" s="20"/>
    </row>
    <row r="946" customFormat="false" ht="12" hidden="false" customHeight="true" outlineLevel="0" collapsed="false">
      <c r="D946" s="20"/>
      <c r="E946" s="20"/>
      <c r="F946" s="20"/>
    </row>
    <row r="947" customFormat="false" ht="12" hidden="false" customHeight="true" outlineLevel="0" collapsed="false">
      <c r="D947" s="20"/>
      <c r="E947" s="20"/>
      <c r="F947" s="20"/>
    </row>
    <row r="948" customFormat="false" ht="12" hidden="false" customHeight="true" outlineLevel="0" collapsed="false">
      <c r="D948" s="20"/>
      <c r="E948" s="20"/>
      <c r="F948" s="20"/>
    </row>
    <row r="949" customFormat="false" ht="12" hidden="false" customHeight="true" outlineLevel="0" collapsed="false">
      <c r="D949" s="20"/>
      <c r="E949" s="20"/>
      <c r="F949" s="20"/>
    </row>
    <row r="950" customFormat="false" ht="12" hidden="false" customHeight="true" outlineLevel="0" collapsed="false">
      <c r="D950" s="20"/>
      <c r="E950" s="20"/>
      <c r="F950" s="20"/>
    </row>
    <row r="951" customFormat="false" ht="12" hidden="false" customHeight="true" outlineLevel="0" collapsed="false">
      <c r="D951" s="20"/>
      <c r="E951" s="20"/>
      <c r="F951" s="20"/>
    </row>
    <row r="952" customFormat="false" ht="12" hidden="false" customHeight="true" outlineLevel="0" collapsed="false">
      <c r="D952" s="20"/>
      <c r="E952" s="20"/>
      <c r="F952" s="20"/>
    </row>
    <row r="953" customFormat="false" ht="12" hidden="false" customHeight="true" outlineLevel="0" collapsed="false">
      <c r="D953" s="20"/>
      <c r="E953" s="20"/>
      <c r="F953" s="20"/>
    </row>
    <row r="954" customFormat="false" ht="12" hidden="false" customHeight="true" outlineLevel="0" collapsed="false">
      <c r="D954" s="20"/>
      <c r="E954" s="20"/>
      <c r="F954" s="20"/>
    </row>
    <row r="955" customFormat="false" ht="12" hidden="false" customHeight="true" outlineLevel="0" collapsed="false">
      <c r="D955" s="20"/>
      <c r="E955" s="20"/>
      <c r="F955" s="20"/>
    </row>
    <row r="956" customFormat="false" ht="12" hidden="false" customHeight="true" outlineLevel="0" collapsed="false">
      <c r="D956" s="20"/>
      <c r="E956" s="20"/>
      <c r="F956" s="20"/>
    </row>
    <row r="957" customFormat="false" ht="12" hidden="false" customHeight="true" outlineLevel="0" collapsed="false">
      <c r="D957" s="20"/>
      <c r="E957" s="20"/>
      <c r="F957" s="20"/>
    </row>
    <row r="958" customFormat="false" ht="12" hidden="false" customHeight="true" outlineLevel="0" collapsed="false">
      <c r="D958" s="20"/>
      <c r="E958" s="20"/>
      <c r="F958" s="20"/>
    </row>
    <row r="959" customFormat="false" ht="12" hidden="false" customHeight="true" outlineLevel="0" collapsed="false">
      <c r="D959" s="20"/>
      <c r="E959" s="20"/>
      <c r="F959" s="20"/>
    </row>
    <row r="960" customFormat="false" ht="12" hidden="false" customHeight="true" outlineLevel="0" collapsed="false">
      <c r="D960" s="20"/>
      <c r="E960" s="20"/>
      <c r="F960" s="20"/>
    </row>
    <row r="961" customFormat="false" ht="12" hidden="false" customHeight="true" outlineLevel="0" collapsed="false">
      <c r="D961" s="20"/>
      <c r="E961" s="20"/>
      <c r="F961" s="20"/>
    </row>
    <row r="962" customFormat="false" ht="12" hidden="false" customHeight="true" outlineLevel="0" collapsed="false">
      <c r="D962" s="20"/>
      <c r="E962" s="20"/>
      <c r="F962" s="20"/>
    </row>
    <row r="963" customFormat="false" ht="12" hidden="false" customHeight="true" outlineLevel="0" collapsed="false">
      <c r="D963" s="20"/>
      <c r="E963" s="20"/>
      <c r="F963" s="20"/>
    </row>
    <row r="964" customFormat="false" ht="12" hidden="false" customHeight="true" outlineLevel="0" collapsed="false">
      <c r="D964" s="20"/>
      <c r="E964" s="20"/>
      <c r="F964" s="20"/>
    </row>
    <row r="965" customFormat="false" ht="12" hidden="false" customHeight="true" outlineLevel="0" collapsed="false">
      <c r="D965" s="20"/>
      <c r="E965" s="20"/>
      <c r="F965" s="20"/>
    </row>
    <row r="966" customFormat="false" ht="12" hidden="false" customHeight="true" outlineLevel="0" collapsed="false">
      <c r="D966" s="20"/>
      <c r="E966" s="20"/>
      <c r="F966" s="20"/>
    </row>
    <row r="967" customFormat="false" ht="12" hidden="false" customHeight="true" outlineLevel="0" collapsed="false">
      <c r="D967" s="20"/>
      <c r="E967" s="20"/>
      <c r="F967" s="20"/>
    </row>
    <row r="968" customFormat="false" ht="12" hidden="false" customHeight="true" outlineLevel="0" collapsed="false">
      <c r="D968" s="20"/>
      <c r="E968" s="20"/>
      <c r="F968" s="20"/>
    </row>
    <row r="969" customFormat="false" ht="12" hidden="false" customHeight="true" outlineLevel="0" collapsed="false">
      <c r="D969" s="20"/>
      <c r="E969" s="20"/>
      <c r="F969" s="20"/>
    </row>
    <row r="970" customFormat="false" ht="12" hidden="false" customHeight="true" outlineLevel="0" collapsed="false">
      <c r="D970" s="20"/>
      <c r="E970" s="20"/>
      <c r="F970" s="20"/>
    </row>
    <row r="971" customFormat="false" ht="12" hidden="false" customHeight="true" outlineLevel="0" collapsed="false">
      <c r="D971" s="20"/>
      <c r="E971" s="20"/>
      <c r="F971" s="20"/>
    </row>
    <row r="972" customFormat="false" ht="12" hidden="false" customHeight="true" outlineLevel="0" collapsed="false">
      <c r="D972" s="20"/>
      <c r="E972" s="20"/>
      <c r="F972" s="20"/>
    </row>
    <row r="973" customFormat="false" ht="12" hidden="false" customHeight="true" outlineLevel="0" collapsed="false">
      <c r="D973" s="20"/>
      <c r="E973" s="20"/>
      <c r="F973" s="20"/>
    </row>
    <row r="974" customFormat="false" ht="12" hidden="false" customHeight="true" outlineLevel="0" collapsed="false">
      <c r="D974" s="20"/>
      <c r="E974" s="20"/>
      <c r="F974" s="20"/>
    </row>
    <row r="975" customFormat="false" ht="12" hidden="false" customHeight="true" outlineLevel="0" collapsed="false">
      <c r="D975" s="20"/>
      <c r="E975" s="20"/>
      <c r="F975" s="20"/>
    </row>
    <row r="976" customFormat="false" ht="12" hidden="false" customHeight="true" outlineLevel="0" collapsed="false">
      <c r="D976" s="20"/>
      <c r="E976" s="20"/>
      <c r="F976" s="20"/>
    </row>
    <row r="977" customFormat="false" ht="12" hidden="false" customHeight="true" outlineLevel="0" collapsed="false">
      <c r="D977" s="20"/>
      <c r="E977" s="20"/>
      <c r="F977" s="20"/>
    </row>
    <row r="978" customFormat="false" ht="12" hidden="false" customHeight="true" outlineLevel="0" collapsed="false">
      <c r="D978" s="20"/>
      <c r="E978" s="20"/>
      <c r="F978" s="20"/>
    </row>
    <row r="979" customFormat="false" ht="12" hidden="false" customHeight="true" outlineLevel="0" collapsed="false">
      <c r="D979" s="20"/>
      <c r="E979" s="20"/>
      <c r="F979" s="20"/>
    </row>
    <row r="980" customFormat="false" ht="12" hidden="false" customHeight="true" outlineLevel="0" collapsed="false">
      <c r="D980" s="20"/>
      <c r="E980" s="20"/>
      <c r="F980" s="20"/>
    </row>
    <row r="981" customFormat="false" ht="12" hidden="false" customHeight="true" outlineLevel="0" collapsed="false">
      <c r="D981" s="20"/>
      <c r="E981" s="20"/>
      <c r="F981" s="20"/>
    </row>
    <row r="982" customFormat="false" ht="12" hidden="false" customHeight="true" outlineLevel="0" collapsed="false">
      <c r="D982" s="20"/>
      <c r="E982" s="20"/>
      <c r="F982" s="20"/>
    </row>
    <row r="983" customFormat="false" ht="12" hidden="false" customHeight="true" outlineLevel="0" collapsed="false">
      <c r="D983" s="20"/>
      <c r="E983" s="20"/>
      <c r="F983" s="20"/>
    </row>
    <row r="984" customFormat="false" ht="12" hidden="false" customHeight="true" outlineLevel="0" collapsed="false">
      <c r="D984" s="20"/>
      <c r="E984" s="20"/>
      <c r="F984" s="20"/>
    </row>
    <row r="985" customFormat="false" ht="12" hidden="false" customHeight="true" outlineLevel="0" collapsed="false">
      <c r="D985" s="20"/>
      <c r="E985" s="20"/>
      <c r="F985" s="20"/>
    </row>
    <row r="986" customFormat="false" ht="12" hidden="false" customHeight="true" outlineLevel="0" collapsed="false">
      <c r="D986" s="20"/>
      <c r="E986" s="20"/>
      <c r="F986" s="20"/>
    </row>
    <row r="987" customFormat="false" ht="12" hidden="false" customHeight="true" outlineLevel="0" collapsed="false">
      <c r="D987" s="20"/>
      <c r="E987" s="20"/>
      <c r="F987" s="20"/>
    </row>
    <row r="988" customFormat="false" ht="12" hidden="false" customHeight="true" outlineLevel="0" collapsed="false">
      <c r="D988" s="20"/>
      <c r="E988" s="20"/>
      <c r="F988" s="20"/>
    </row>
    <row r="989" customFormat="false" ht="12" hidden="false" customHeight="true" outlineLevel="0" collapsed="false">
      <c r="D989" s="20"/>
      <c r="E989" s="20"/>
      <c r="F989" s="20"/>
    </row>
    <row r="990" customFormat="false" ht="12" hidden="false" customHeight="true" outlineLevel="0" collapsed="false">
      <c r="D990" s="20"/>
      <c r="E990" s="20"/>
      <c r="F990" s="20"/>
    </row>
    <row r="991" customFormat="false" ht="12" hidden="false" customHeight="true" outlineLevel="0" collapsed="false">
      <c r="D991" s="20"/>
      <c r="E991" s="20"/>
      <c r="F991" s="20"/>
    </row>
    <row r="992" customFormat="false" ht="12" hidden="false" customHeight="true" outlineLevel="0" collapsed="false">
      <c r="D992" s="20"/>
      <c r="E992" s="20"/>
      <c r="F992" s="20"/>
    </row>
    <row r="993" customFormat="false" ht="12" hidden="false" customHeight="true" outlineLevel="0" collapsed="false">
      <c r="D993" s="20"/>
      <c r="E993" s="20"/>
      <c r="F993" s="20"/>
    </row>
    <row r="994" customFormat="false" ht="12" hidden="false" customHeight="true" outlineLevel="0" collapsed="false">
      <c r="D994" s="20"/>
      <c r="E994" s="20"/>
      <c r="F994" s="20"/>
    </row>
    <row r="995" customFormat="false" ht="12" hidden="false" customHeight="true" outlineLevel="0" collapsed="false">
      <c r="D995" s="20"/>
      <c r="E995" s="20"/>
      <c r="F995" s="20"/>
    </row>
    <row r="996" customFormat="false" ht="12" hidden="false" customHeight="true" outlineLevel="0" collapsed="false">
      <c r="D996" s="20"/>
      <c r="E996" s="20"/>
      <c r="F996" s="20"/>
    </row>
    <row r="997" customFormat="false" ht="12" hidden="false" customHeight="true" outlineLevel="0" collapsed="false">
      <c r="D997" s="20"/>
      <c r="E997" s="20"/>
      <c r="F997" s="20"/>
    </row>
    <row r="998" customFormat="false" ht="12" hidden="false" customHeight="true" outlineLevel="0" collapsed="false">
      <c r="D998" s="20"/>
      <c r="E998" s="20"/>
      <c r="F998" s="20"/>
    </row>
    <row r="999" customFormat="false" ht="12" hidden="false" customHeight="true" outlineLevel="0" collapsed="false">
      <c r="D999" s="20"/>
      <c r="E999" s="20"/>
      <c r="F999" s="20"/>
    </row>
    <row r="1000" customFormat="false" ht="12" hidden="false" customHeight="true" outlineLevel="0" collapsed="false">
      <c r="D1000" s="20"/>
      <c r="E1000" s="20"/>
      <c r="F1000" s="20"/>
    </row>
  </sheetData>
  <mergeCells count="3">
    <mergeCell ref="D86:F86"/>
    <mergeCell ref="D202:F202"/>
    <mergeCell ref="D238:F238"/>
  </mergeCells>
  <dataValidations count="1">
    <dataValidation allowBlank="true" errorStyle="stop" operator="between" showDropDown="true" showErrorMessage="false" showInputMessage="false" sqref="A2:A253" type="custom">
      <formula1>AND(ISNUMBER(A2),(NOT(OR(NOT(ISERROR(DATEVALUE(A2))), AND(ISNUMBER(A2), LEFT(CELL("format", A2))="D")))))</formula1>
      <formula2>0</formula2>
    </dataValidation>
  </dataValidations>
  <hyperlinks>
    <hyperlink ref="C2" r:id="rId1" display="Simán • 33 Calle Col. Guillén"/>
    <hyperlink ref="C6" r:id="rId2" display="Simán • Barandillas"/>
    <hyperlink ref="C10" r:id="rId3" display="Simán • Bulevar del Este #1"/>
    <hyperlink ref="C14" r:id="rId4" display="Simán • Texaco Aurora"/>
    <hyperlink ref="C18" r:id="rId5" display="Simán • El Roble - Plaza Bográn"/>
    <hyperlink ref="C22" r:id="rId6" display="Farmacia Simán • Plaza Carolina"/>
    <hyperlink ref="C26" r:id="rId7" display="Siman Rancho el coco"/>
    <hyperlink ref="C30" r:id="rId8" display="Simán • Plaza Prisma"/>
    <hyperlink ref="C34" r:id="rId9" display="Simán • 13 Calle - Ave. Juan Pablo 2do."/>
    <hyperlink ref="C38" r:id="rId10" display="Simán • 20 Calle - a una Cuadra de Pollo Gol"/>
    <hyperlink ref="C42" r:id="rId11" display="Simán • 2do Anillo"/>
    <hyperlink ref="C46" r:id="rId12" display="Simán • 3 Ave. - Centro SPS"/>
    <hyperlink ref="C50" r:id="rId13" display="Simán • 4ta. Calle - Blv. Juan Pablo II"/>
    <hyperlink ref="C54" r:id="rId14" display="Simán • Texaco Arenales"/>
    <hyperlink ref="C58" r:id="rId15" display="Simán • Avenida Junior"/>
    <hyperlink ref="C62" r:id="rId16" display="Simán • Bendaña - Dentro de Hospital Bendaña"/>
    <hyperlink ref="C66" r:id="rId17" display="Simán • Bulevar del Norte - Contiguo a Centro Cerámicas"/>
    <hyperlink ref="C70" r:id="rId18" display="Simán • Calpules"/>
    <hyperlink ref="C74" r:id="rId19" display="Plaza JOGAR"/>
    <hyperlink ref="C78" r:id="rId20" display="Simán • Catarino"/>
    <hyperlink ref="C82" r:id="rId21" display="Simán • Cemesa - Frente a Clínica Cemesa"/>
    <hyperlink ref="C86" r:id="rId22" display="Simán • Chamelecón"/>
    <hyperlink ref="C90" r:id="rId23" display="Simán • Circunvalación"/>
    <hyperlink ref="C94" r:id="rId24" display="Simán • Plaza Moderna"/>
    <hyperlink ref="C98" r:id="rId25" display="Simán • City Mall #01 - SPS"/>
    <hyperlink ref="C102" r:id="rId26" display="Simán • Colonial #1"/>
    <hyperlink ref="C106" r:id="rId27" display="Simán • Supermercado Colonial 02 - Blv. del Norte"/>
    <hyperlink ref="C110" r:id="rId28" display="Simán • Dentro de Supermercado Colonial #3 Salida a la Lima"/>
    <hyperlink ref="C114" r:id="rId29" display="Simán • El Pedregal"/>
    <hyperlink ref="C118" r:id="rId30" display="Simán • El Pedregal"/>
    <hyperlink ref="C122" r:id="rId31" display="Simán • Express"/>
    <hyperlink ref="C126" r:id="rId32" display="Simán • Mall Galerías"/>
    <hyperlink ref="C130" r:id="rId33" display="Simán • Supermercado Walmart"/>
    <hyperlink ref="C134" r:id="rId34" display="Simán • Hospital del Valle"/>
    <hyperlink ref="C138" r:id="rId35" display="Simán • Plaza Ivihsa"/>
    <hyperlink ref="C142" r:id="rId36" display="Simán • Jardines - Contiguo a Denny's"/>
    <hyperlink ref="C146" r:id="rId37" display="Simán • Las Palmas - Frente a Grupo Aire"/>
    <hyperlink ref="C150" r:id="rId38" display="Simán • Los Álamos"/>
    <hyperlink ref="C154" r:id="rId39" display="Simán • Los Andes"/>
    <hyperlink ref="C158" r:id="rId40" display="Simán • Luisiana"/>
    <hyperlink ref="C162" r:id="rId41" display="Simán • Altara"/>
    <hyperlink ref="C166" r:id="rId42" display="Simán • Multiplaza"/>
    <hyperlink ref="C170" r:id="rId43" display="Simán • Medina - Farmaplus"/>
    <hyperlink ref="C174" r:id="rId44" display="Simán • Mega Mall"/>
    <hyperlink ref="C178" r:id="rId45" display="Farmacia Simán • Plaza Geo Sur"/>
    <hyperlink ref="C182" r:id="rId46" display="Simán • Plaza Isabella"/>
    <hyperlink ref="C186" r:id="rId47" display="Simán • Plaza Numa - Blv. Mackay"/>
    <hyperlink ref="C190" r:id="rId48" display="Simán • Plaza Vicay"/>
    <hyperlink ref="C194" r:id="rId49" display="Simán • Pradera"/>
    <hyperlink ref="C198" r:id="rId50" display="Simán • Río de Piedras"/>
    <hyperlink ref="C202" r:id="rId51" display="Simán • Salamanca"/>
    <hyperlink ref="C206" r:id="rId52" display="Simán • Salida a La Lima"/>
    <hyperlink ref="C210" r:id="rId53" display="Simán • Plaza Santa Martha"/>
    <hyperlink ref="C214" r:id="rId54" display="Simán • Stibys"/>
    <hyperlink ref="C218" r:id="rId55" display="Simán • Tara"/>
    <hyperlink ref="C222" r:id="rId56" display="Simán • Trejo - Frente a Terravista Plaza"/>
    <hyperlink ref="C226" r:id="rId57" display="Simán • Blv. Mackay"/>
    <hyperlink ref="C230" r:id="rId58" display="Simán • Zerón"/>
    <hyperlink ref="C234" r:id="rId59" display="Simán • ZIP San José"/>
    <hyperlink ref="C238" r:id="rId60" display="Simán • Jucutuma"/>
    <hyperlink ref="C242" r:id="rId61" display="Súper Farmacia Simán"/>
    <hyperlink ref="C246" r:id="rId62" display="Simán • Town Center"/>
    <hyperlink ref="C250" r:id="rId63" display="Simán • Villa Olímpic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14" activeCellId="0" sqref="F14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9.42"/>
    <col collapsed="false" customWidth="true" hidden="false" outlineLevel="0" max="3" min="3" style="0" width="42.86"/>
    <col collapsed="false" customWidth="true" hidden="false" outlineLevel="0" max="4" min="4" style="0" width="17.15"/>
    <col collapsed="false" customWidth="true" hidden="false" outlineLevel="0" max="5" min="5" style="0" width="20.14"/>
    <col collapsed="false" customWidth="true" hidden="false" outlineLevel="0" max="6" min="6" style="0" width="23.14"/>
    <col collapsed="false" customWidth="true" hidden="false" outlineLevel="0" max="7" min="7" style="0" width="16.43"/>
    <col collapsed="false" customWidth="true" hidden="false" outlineLevel="0" max="8" min="8" style="0" width="13.86"/>
    <col collapsed="false" customWidth="true" hidden="false" outlineLevel="0" max="9" min="9" style="0" width="58"/>
  </cols>
  <sheetData>
    <row r="1" customFormat="false" ht="18" hidden="false" customHeight="true" outlineLevel="0" collapsed="false">
      <c r="A1" s="75" t="s">
        <v>220</v>
      </c>
      <c r="B1" s="76" t="s">
        <v>221</v>
      </c>
      <c r="C1" s="76" t="s">
        <v>222</v>
      </c>
      <c r="D1" s="77" t="s">
        <v>150</v>
      </c>
      <c r="E1" s="77" t="s">
        <v>151</v>
      </c>
      <c r="F1" s="77" t="s">
        <v>152</v>
      </c>
      <c r="G1" s="78" t="s">
        <v>223</v>
      </c>
    </row>
    <row r="2" customFormat="false" ht="15.75" hidden="false" customHeight="true" outlineLevel="0" collapsed="false">
      <c r="A2" s="79" t="s">
        <v>224</v>
      </c>
      <c r="B2" s="80" t="n">
        <v>1</v>
      </c>
      <c r="C2" s="80" t="s">
        <v>5</v>
      </c>
      <c r="D2" s="80" t="n">
        <v>8.8</v>
      </c>
      <c r="E2" s="80" t="n">
        <v>9</v>
      </c>
      <c r="F2" s="80" t="n">
        <f aca="false">(D2+E2)/2</f>
        <v>8.9</v>
      </c>
      <c r="G2" s="81" t="n">
        <f aca="false">SUM(F2:F6)</f>
        <v>21.4</v>
      </c>
    </row>
    <row r="3" customFormat="false" ht="15.75" hidden="false" customHeight="true" outlineLevel="0" collapsed="false">
      <c r="A3" s="79"/>
      <c r="B3" s="82" t="n">
        <v>2</v>
      </c>
      <c r="C3" s="82" t="s">
        <v>17</v>
      </c>
      <c r="D3" s="82" t="n">
        <v>3.6</v>
      </c>
      <c r="E3" s="82" t="n">
        <v>3.6</v>
      </c>
      <c r="F3" s="83" t="n">
        <f aca="false">(D3+E3)/2</f>
        <v>3.6</v>
      </c>
      <c r="G3" s="81"/>
    </row>
    <row r="4" customFormat="false" ht="15.75" hidden="false" customHeight="true" outlineLevel="0" collapsed="false">
      <c r="A4" s="79"/>
      <c r="B4" s="84" t="n">
        <v>3</v>
      </c>
      <c r="C4" s="84" t="s">
        <v>7</v>
      </c>
      <c r="D4" s="84" t="n">
        <v>2.2</v>
      </c>
      <c r="E4" s="84" t="n">
        <v>3</v>
      </c>
      <c r="F4" s="80" t="n">
        <f aca="false">(D4+E4)/2</f>
        <v>2.6</v>
      </c>
      <c r="G4" s="81"/>
    </row>
    <row r="5" customFormat="false" ht="15.75" hidden="false" customHeight="true" outlineLevel="0" collapsed="false">
      <c r="A5" s="79"/>
      <c r="B5" s="82" t="n">
        <v>4</v>
      </c>
      <c r="C5" s="82" t="s">
        <v>13</v>
      </c>
      <c r="D5" s="82" t="n">
        <v>3.9</v>
      </c>
      <c r="E5" s="82" t="n">
        <v>4.1</v>
      </c>
      <c r="F5" s="83" t="n">
        <f aca="false">(D5+E5)/2</f>
        <v>4</v>
      </c>
      <c r="G5" s="81"/>
    </row>
    <row r="6" customFormat="false" ht="15.75" hidden="false" customHeight="true" outlineLevel="0" collapsed="false">
      <c r="A6" s="79"/>
      <c r="B6" s="84" t="n">
        <v>5</v>
      </c>
      <c r="C6" s="84" t="s">
        <v>27</v>
      </c>
      <c r="D6" s="84" t="n">
        <v>2.2</v>
      </c>
      <c r="E6" s="84" t="n">
        <v>2.4</v>
      </c>
      <c r="F6" s="80" t="n">
        <f aca="false">(D6+E6)/2</f>
        <v>2.3</v>
      </c>
      <c r="G6" s="81"/>
    </row>
    <row r="7" customFormat="false" ht="15.75" hidden="false" customHeight="true" outlineLevel="0" collapsed="false">
      <c r="A7" s="85" t="s">
        <v>225</v>
      </c>
      <c r="B7" s="86" t="n">
        <v>1</v>
      </c>
      <c r="C7" s="87" t="s">
        <v>5</v>
      </c>
      <c r="D7" s="86" t="n">
        <v>1.2</v>
      </c>
      <c r="E7" s="86" t="n">
        <f aca="false">900/1000</f>
        <v>0.9</v>
      </c>
      <c r="F7" s="87" t="n">
        <f aca="false">(D7+E7)/2</f>
        <v>1.05</v>
      </c>
      <c r="G7" s="88" t="n">
        <f aca="false">SUM(F7:F11)</f>
        <v>33.65</v>
      </c>
    </row>
    <row r="8" customFormat="false" ht="15.75" hidden="false" customHeight="true" outlineLevel="0" collapsed="false">
      <c r="A8" s="85"/>
      <c r="B8" s="89" t="n">
        <v>2</v>
      </c>
      <c r="C8" s="89" t="s">
        <v>17</v>
      </c>
      <c r="D8" s="89" t="n">
        <v>10.8</v>
      </c>
      <c r="E8" s="89" t="n">
        <v>11</v>
      </c>
      <c r="F8" s="90" t="n">
        <f aca="false">(D8+E8)/2</f>
        <v>10.9</v>
      </c>
      <c r="G8" s="88"/>
    </row>
    <row r="9" customFormat="false" ht="15.75" hidden="false" customHeight="true" outlineLevel="0" collapsed="false">
      <c r="A9" s="85"/>
      <c r="B9" s="86" t="n">
        <v>3</v>
      </c>
      <c r="C9" s="86" t="s">
        <v>7</v>
      </c>
      <c r="D9" s="86" t="n">
        <v>7.7</v>
      </c>
      <c r="E9" s="86" t="n">
        <v>6</v>
      </c>
      <c r="F9" s="87" t="n">
        <f aca="false">(D9+E9)/2</f>
        <v>6.85</v>
      </c>
      <c r="G9" s="88"/>
    </row>
    <row r="10" customFormat="false" ht="15.75" hidden="false" customHeight="true" outlineLevel="0" collapsed="false">
      <c r="A10" s="85"/>
      <c r="B10" s="89" t="n">
        <v>4</v>
      </c>
      <c r="C10" s="89" t="s">
        <v>13</v>
      </c>
      <c r="D10" s="89" t="n">
        <v>8.6</v>
      </c>
      <c r="E10" s="89" t="n">
        <v>8.8</v>
      </c>
      <c r="F10" s="90" t="n">
        <f aca="false">(D10+E10)/2</f>
        <v>8.7</v>
      </c>
      <c r="G10" s="88"/>
    </row>
    <row r="11" customFormat="false" ht="15.75" hidden="false" customHeight="true" outlineLevel="0" collapsed="false">
      <c r="A11" s="85"/>
      <c r="B11" s="86" t="n">
        <v>5</v>
      </c>
      <c r="C11" s="86" t="s">
        <v>27</v>
      </c>
      <c r="D11" s="86" t="n">
        <v>6.4</v>
      </c>
      <c r="E11" s="86" t="n">
        <v>5.9</v>
      </c>
      <c r="F11" s="87" t="n">
        <f aca="false">(D11+E11)/2</f>
        <v>6.15</v>
      </c>
      <c r="G11" s="88"/>
    </row>
    <row r="12" customFormat="false" ht="15.75" hidden="false" customHeight="true" outlineLevel="0" collapsed="false">
      <c r="A12" s="91" t="s">
        <v>226</v>
      </c>
      <c r="B12" s="84" t="n">
        <v>1</v>
      </c>
      <c r="C12" s="80" t="s">
        <v>5</v>
      </c>
      <c r="D12" s="84" t="n">
        <v>8.1</v>
      </c>
      <c r="E12" s="84" t="n">
        <v>8</v>
      </c>
      <c r="F12" s="80" t="n">
        <f aca="false">(D12+E12)/2</f>
        <v>8.05</v>
      </c>
      <c r="G12" s="92" t="n">
        <f aca="false">SUM(F12:F16)</f>
        <v>21.8</v>
      </c>
    </row>
    <row r="13" customFormat="false" ht="15.75" hidden="false" customHeight="true" outlineLevel="0" collapsed="false">
      <c r="A13" s="91"/>
      <c r="B13" s="82" t="n">
        <v>2</v>
      </c>
      <c r="C13" s="82" t="s">
        <v>17</v>
      </c>
      <c r="D13" s="82" t="n">
        <v>3.6</v>
      </c>
      <c r="E13" s="82" t="n">
        <v>4</v>
      </c>
      <c r="F13" s="83" t="n">
        <f aca="false">(D13+E13)/2</f>
        <v>3.8</v>
      </c>
      <c r="G13" s="92"/>
    </row>
    <row r="14" customFormat="false" ht="15.75" hidden="false" customHeight="true" outlineLevel="0" collapsed="false">
      <c r="A14" s="91"/>
      <c r="B14" s="84" t="n">
        <v>3</v>
      </c>
      <c r="C14" s="84" t="s">
        <v>7</v>
      </c>
      <c r="D14" s="84" t="n">
        <v>3.1</v>
      </c>
      <c r="E14" s="84" t="n">
        <v>2.8</v>
      </c>
      <c r="F14" s="80" t="n">
        <f aca="false">(D14+E14)/2</f>
        <v>2.95</v>
      </c>
      <c r="G14" s="92"/>
    </row>
    <row r="15" customFormat="false" ht="15.75" hidden="false" customHeight="true" outlineLevel="0" collapsed="false">
      <c r="A15" s="91"/>
      <c r="B15" s="82" t="n">
        <v>4</v>
      </c>
      <c r="C15" s="82" t="s">
        <v>13</v>
      </c>
      <c r="D15" s="82" t="n">
        <v>5.2</v>
      </c>
      <c r="E15" s="82" t="n">
        <v>5.5</v>
      </c>
      <c r="F15" s="83" t="n">
        <f aca="false">(D15+E15)/2</f>
        <v>5.35</v>
      </c>
      <c r="G15" s="92"/>
    </row>
    <row r="16" customFormat="false" ht="15.75" hidden="false" customHeight="true" outlineLevel="0" collapsed="false">
      <c r="A16" s="91"/>
      <c r="B16" s="84" t="n">
        <v>5</v>
      </c>
      <c r="C16" s="84" t="s">
        <v>27</v>
      </c>
      <c r="D16" s="84" t="n">
        <v>1.6</v>
      </c>
      <c r="E16" s="84" t="n">
        <v>1.7</v>
      </c>
      <c r="F16" s="80" t="n">
        <f aca="false">(D16+E16)/2</f>
        <v>1.65</v>
      </c>
      <c r="G16" s="92"/>
    </row>
    <row r="18" customFormat="false" ht="15.75" hidden="false" customHeight="true" outlineLevel="0" collapsed="false">
      <c r="C18" s="93" t="s">
        <v>154</v>
      </c>
      <c r="D18" s="94" t="s">
        <v>227</v>
      </c>
      <c r="E18" s="94"/>
      <c r="F18" s="94"/>
    </row>
    <row r="19" customFormat="false" ht="15.75" hidden="false" customHeight="true" outlineLevel="0" collapsed="false">
      <c r="C19" s="93" t="s">
        <v>156</v>
      </c>
      <c r="D19" s="94" t="s">
        <v>228</v>
      </c>
      <c r="E19" s="94"/>
      <c r="F19" s="94"/>
    </row>
  </sheetData>
  <mergeCells count="8">
    <mergeCell ref="A2:A6"/>
    <mergeCell ref="G2:G6"/>
    <mergeCell ref="A7:A11"/>
    <mergeCell ref="G7:G11"/>
    <mergeCell ref="A12:A16"/>
    <mergeCell ref="G12:G16"/>
    <mergeCell ref="D18:F18"/>
    <mergeCell ref="D19:F19"/>
  </mergeCells>
  <dataValidations count="1">
    <dataValidation allowBlank="true" errorStyle="stop" operator="between" showDropDown="true" showErrorMessage="false" showInputMessage="false" sqref="A2 A7 A12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8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3" topLeftCell="A96" activePane="bottomLeft" state="frozen"/>
      <selection pane="topLeft" activeCell="B1" activeCellId="0" sqref="B1"/>
      <selection pane="bottomLeft" activeCell="E105" activeCellId="0" sqref="E105"/>
    </sheetView>
  </sheetViews>
  <sheetFormatPr defaultColWidth="8.71484375" defaultRowHeight="12.7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9.42"/>
  </cols>
  <sheetData>
    <row r="1" customFormat="false" ht="24" hidden="false" customHeight="true" outlineLevel="0" collapsed="false">
      <c r="A1" s="95" t="s">
        <v>229</v>
      </c>
      <c r="B1" s="95"/>
      <c r="C1" s="95"/>
      <c r="D1" s="95"/>
      <c r="E1" s="95"/>
      <c r="F1" s="95"/>
    </row>
    <row r="2" customFormat="false" ht="15.75" hidden="false" customHeight="true" outlineLevel="0" collapsed="false">
      <c r="A2" s="96"/>
      <c r="B2" s="96"/>
      <c r="C2" s="96"/>
      <c r="D2" s="96"/>
      <c r="E2" s="96"/>
      <c r="F2" s="96"/>
    </row>
    <row r="3" customFormat="false" ht="27.75" hidden="false" customHeight="true" outlineLevel="0" collapsed="false">
      <c r="A3" s="97" t="s">
        <v>220</v>
      </c>
      <c r="B3" s="97" t="s">
        <v>221</v>
      </c>
      <c r="C3" s="97" t="s">
        <v>230</v>
      </c>
      <c r="D3" s="97" t="s">
        <v>150</v>
      </c>
      <c r="E3" s="97" t="s">
        <v>151</v>
      </c>
      <c r="F3" s="97" t="s">
        <v>152</v>
      </c>
    </row>
    <row r="4" customFormat="false" ht="15" hidden="false" customHeight="true" outlineLevel="0" collapsed="false">
      <c r="A4" s="98" t="s">
        <v>231</v>
      </c>
      <c r="B4" s="99" t="s">
        <v>130</v>
      </c>
      <c r="C4" s="100" t="s">
        <v>232</v>
      </c>
      <c r="D4" s="101" t="n">
        <v>5.1</v>
      </c>
      <c r="E4" s="101" t="n">
        <v>5.3</v>
      </c>
      <c r="F4" s="102" t="n">
        <f aca="false">IF(AND(D4="",E4=""),"",AVERAGE(D4:E4))</f>
        <v>5.2</v>
      </c>
    </row>
    <row r="5" customFormat="false" ht="12.75" hidden="false" customHeight="false" outlineLevel="0" collapsed="false">
      <c r="A5" s="98"/>
      <c r="B5" s="98"/>
      <c r="C5" s="100" t="s">
        <v>233</v>
      </c>
      <c r="D5" s="101" t="n">
        <v>2.2</v>
      </c>
      <c r="E5" s="101" t="n">
        <v>4.1</v>
      </c>
      <c r="F5" s="102" t="n">
        <f aca="false">IF(AND(D5="",E5=""),"",AVERAGE(D5:E5))</f>
        <v>3.15</v>
      </c>
      <c r="G5" s="103" t="s">
        <v>234</v>
      </c>
    </row>
    <row r="6" customFormat="false" ht="12.75" hidden="false" customHeight="false" outlineLevel="0" collapsed="false">
      <c r="A6" s="98"/>
      <c r="B6" s="98"/>
      <c r="C6" s="100" t="s">
        <v>235</v>
      </c>
      <c r="D6" s="101" t="n">
        <v>0.9</v>
      </c>
      <c r="E6" s="101" t="n">
        <v>4.2</v>
      </c>
      <c r="F6" s="102" t="n">
        <f aca="false">IF(AND(D6="",E6=""),"",AVERAGE(D6:E6))</f>
        <v>2.55</v>
      </c>
      <c r="G6" s="103" t="s">
        <v>236</v>
      </c>
    </row>
    <row r="7" customFormat="false" ht="12.75" hidden="false" customHeight="false" outlineLevel="0" collapsed="false">
      <c r="A7" s="98"/>
      <c r="B7" s="98"/>
      <c r="C7" s="100" t="s">
        <v>237</v>
      </c>
      <c r="D7" s="101" t="n">
        <v>2.5</v>
      </c>
      <c r="E7" s="101" t="n">
        <v>2.9</v>
      </c>
      <c r="F7" s="102" t="n">
        <f aca="false">IF(AND(D7="",E7=""),"",AVERAGE(D7:E7))</f>
        <v>2.7</v>
      </c>
    </row>
    <row r="8" customFormat="false" ht="12.75" hidden="false" customHeight="false" outlineLevel="0" collapsed="false">
      <c r="A8" s="98"/>
      <c r="B8" s="98"/>
      <c r="C8" s="100" t="s">
        <v>238</v>
      </c>
      <c r="D8" s="101" t="n">
        <v>0.3</v>
      </c>
      <c r="E8" s="101" t="n">
        <v>0.6</v>
      </c>
      <c r="F8" s="102" t="n">
        <f aca="false">IF(AND(D8="",E8=""),"",AVERAGE(D8:E8))</f>
        <v>0.45</v>
      </c>
    </row>
    <row r="9" customFormat="false" ht="12.75" hidden="false" customHeight="false" outlineLevel="0" collapsed="false">
      <c r="A9" s="98"/>
      <c r="B9" s="98"/>
      <c r="C9" s="100" t="s">
        <v>239</v>
      </c>
      <c r="D9" s="101" t="n">
        <v>1.8</v>
      </c>
      <c r="E9" s="101" t="n">
        <v>2.2</v>
      </c>
      <c r="F9" s="102" t="n">
        <f aca="false">IF(AND(D9="",E9=""),"",AVERAGE(D9:E9))</f>
        <v>2</v>
      </c>
    </row>
    <row r="10" customFormat="false" ht="12.75" hidden="false" customHeight="false" outlineLevel="0" collapsed="false">
      <c r="A10" s="98"/>
      <c r="B10" s="98"/>
      <c r="C10" s="100" t="s">
        <v>240</v>
      </c>
      <c r="D10" s="101" t="n">
        <v>1.5</v>
      </c>
      <c r="E10" s="101" t="n">
        <v>3.1</v>
      </c>
      <c r="F10" s="102" t="n">
        <f aca="false">IF(AND(D10="",E10=""),"",AVERAGE(D10:E10))</f>
        <v>2.3</v>
      </c>
    </row>
    <row r="11" customFormat="false" ht="12.75" hidden="false" customHeight="false" outlineLevel="0" collapsed="false">
      <c r="A11" s="98"/>
      <c r="B11" s="98"/>
      <c r="C11" s="100" t="s">
        <v>241</v>
      </c>
      <c r="D11" s="101" t="n">
        <v>3.4</v>
      </c>
      <c r="E11" s="101" t="n">
        <v>2.2</v>
      </c>
      <c r="F11" s="102" t="n">
        <f aca="false">IF(AND(D11="",E11=""),"",AVERAGE(D11:E11))</f>
        <v>2.8</v>
      </c>
    </row>
    <row r="12" customFormat="false" ht="12.75" hidden="false" customHeight="false" outlineLevel="0" collapsed="false">
      <c r="A12" s="98"/>
      <c r="B12" s="98"/>
      <c r="C12" s="100" t="s">
        <v>242</v>
      </c>
      <c r="D12" s="101" t="n">
        <v>0.95</v>
      </c>
      <c r="E12" s="101" t="n">
        <v>2.7</v>
      </c>
      <c r="F12" s="102" t="n">
        <f aca="false">IF(AND(D12="",E12=""),"",AVERAGE(D12:E12))</f>
        <v>1.825</v>
      </c>
    </row>
    <row r="13" customFormat="false" ht="12.75" hidden="false" customHeight="false" outlineLevel="0" collapsed="false">
      <c r="A13" s="98"/>
      <c r="B13" s="98"/>
      <c r="C13" s="100" t="s">
        <v>243</v>
      </c>
      <c r="D13" s="101" t="n">
        <v>0.9</v>
      </c>
      <c r="E13" s="101" t="n">
        <v>2.8</v>
      </c>
      <c r="F13" s="102" t="n">
        <f aca="false">IF(AND(D13="",E13=""),"",AVERAGE(D13:E13))</f>
        <v>1.85</v>
      </c>
    </row>
    <row r="14" customFormat="false" ht="12.75" hidden="false" customHeight="false" outlineLevel="0" collapsed="false">
      <c r="A14" s="98"/>
      <c r="B14" s="98"/>
      <c r="C14" s="100" t="s">
        <v>244</v>
      </c>
      <c r="D14" s="101" t="n">
        <v>2.3</v>
      </c>
      <c r="E14" s="101" t="n">
        <v>1.6</v>
      </c>
      <c r="F14" s="102" t="n">
        <f aca="false">IF(AND(D14="",E14=""),"",AVERAGE(D14:E14))</f>
        <v>1.95</v>
      </c>
    </row>
    <row r="15" customFormat="false" ht="12.75" hidden="false" customHeight="false" outlineLevel="0" collapsed="false">
      <c r="A15" s="98"/>
      <c r="B15" s="98"/>
      <c r="C15" s="100" t="s">
        <v>245</v>
      </c>
      <c r="D15" s="101" t="n">
        <v>1.3</v>
      </c>
      <c r="E15" s="101" t="n">
        <v>2.1</v>
      </c>
      <c r="F15" s="102" t="n">
        <f aca="false">IF(AND(D15="",E15=""),"",AVERAGE(D15:E15))</f>
        <v>1.7</v>
      </c>
    </row>
    <row r="16" customFormat="false" ht="12.75" hidden="false" customHeight="false" outlineLevel="0" collapsed="false">
      <c r="A16" s="98"/>
      <c r="B16" s="99"/>
      <c r="C16" s="100" t="s">
        <v>246</v>
      </c>
      <c r="D16" s="101" t="n">
        <v>6.6</v>
      </c>
      <c r="E16" s="101" t="n">
        <v>6.7</v>
      </c>
      <c r="F16" s="102" t="n">
        <f aca="false">IF(AND(D16="",E16=""),"",AVERAGE(D16:E16))</f>
        <v>6.65</v>
      </c>
      <c r="G16" s="104"/>
    </row>
    <row r="17" customFormat="false" ht="15" hidden="false" customHeight="true" outlineLevel="0" collapsed="false">
      <c r="A17" s="98"/>
      <c r="B17" s="99" t="s">
        <v>131</v>
      </c>
      <c r="C17" s="100" t="s">
        <v>247</v>
      </c>
      <c r="D17" s="101" t="n">
        <v>0.6</v>
      </c>
      <c r="E17" s="101" t="n">
        <v>1</v>
      </c>
      <c r="F17" s="102" t="n">
        <f aca="false">IF(AND(D17="",E17=""),"",AVERAGE(D17:E17))</f>
        <v>0.8</v>
      </c>
    </row>
    <row r="18" customFormat="false" ht="12.75" hidden="false" customHeight="false" outlineLevel="0" collapsed="false">
      <c r="A18" s="98"/>
      <c r="B18" s="98"/>
      <c r="C18" s="100" t="s">
        <v>248</v>
      </c>
      <c r="D18" s="101" t="n">
        <v>1.3</v>
      </c>
      <c r="E18" s="101" t="n">
        <v>1.4</v>
      </c>
      <c r="F18" s="102" t="n">
        <f aca="false">IF(AND(D18="",E18=""),"",AVERAGE(D18:E18))</f>
        <v>1.35</v>
      </c>
    </row>
    <row r="19" customFormat="false" ht="12.75" hidden="false" customHeight="false" outlineLevel="0" collapsed="false">
      <c r="A19" s="98"/>
      <c r="B19" s="98"/>
      <c r="C19" s="100" t="s">
        <v>249</v>
      </c>
      <c r="D19" s="101" t="n">
        <v>1.2</v>
      </c>
      <c r="E19" s="101" t="n">
        <v>1.2</v>
      </c>
      <c r="F19" s="102" t="n">
        <f aca="false">IF(AND(D19="",E19=""),"",AVERAGE(D19:E19))</f>
        <v>1.2</v>
      </c>
    </row>
    <row r="20" customFormat="false" ht="24" hidden="false" customHeight="true" outlineLevel="0" collapsed="false">
      <c r="A20" s="98"/>
      <c r="B20" s="98"/>
      <c r="C20" s="100" t="s">
        <v>250</v>
      </c>
      <c r="D20" s="101" t="n">
        <v>2.3</v>
      </c>
      <c r="E20" s="101" t="n">
        <v>2.1</v>
      </c>
      <c r="F20" s="102" t="n">
        <f aca="false">IF(AND(D20="",E20=""),"",AVERAGE(D20:E20))</f>
        <v>2.2</v>
      </c>
    </row>
    <row r="21" customFormat="false" ht="24" hidden="false" customHeight="true" outlineLevel="0" collapsed="false">
      <c r="A21" s="98"/>
      <c r="B21" s="98"/>
      <c r="C21" s="100" t="s">
        <v>251</v>
      </c>
      <c r="D21" s="101" t="n">
        <v>0.55</v>
      </c>
      <c r="E21" s="101" t="n">
        <v>1.4</v>
      </c>
      <c r="F21" s="102" t="n">
        <f aca="false">IF(AND(D21="",E21=""),"",AVERAGE(D21:E21))</f>
        <v>0.975</v>
      </c>
    </row>
    <row r="22" customFormat="false" ht="12.75" hidden="false" customHeight="false" outlineLevel="0" collapsed="false">
      <c r="A22" s="98"/>
      <c r="B22" s="98"/>
      <c r="C22" s="100" t="s">
        <v>252</v>
      </c>
      <c r="D22" s="101" t="n">
        <v>3.9</v>
      </c>
      <c r="E22" s="101" t="n">
        <v>3.2</v>
      </c>
      <c r="F22" s="102" t="n">
        <f aca="false">IF(AND(D22="",E22=""),"",AVERAGE(D22:E22))</f>
        <v>3.55</v>
      </c>
    </row>
    <row r="23" customFormat="false" ht="12.75" hidden="false" customHeight="false" outlineLevel="0" collapsed="false">
      <c r="A23" s="98"/>
      <c r="B23" s="98"/>
      <c r="C23" s="100" t="s">
        <v>253</v>
      </c>
      <c r="D23" s="101" t="n">
        <v>2.1</v>
      </c>
      <c r="E23" s="101" t="n">
        <v>1.6</v>
      </c>
      <c r="F23" s="102" t="n">
        <f aca="false">IF(AND(D23="",E23=""),"",AVERAGE(D23:E23))</f>
        <v>1.85</v>
      </c>
    </row>
    <row r="24" customFormat="false" ht="12.75" hidden="false" customHeight="false" outlineLevel="0" collapsed="false">
      <c r="A24" s="98"/>
      <c r="B24" s="98"/>
      <c r="C24" s="100" t="s">
        <v>254</v>
      </c>
      <c r="D24" s="101" t="n">
        <v>1.5</v>
      </c>
      <c r="E24" s="101" t="n">
        <v>1</v>
      </c>
      <c r="F24" s="102" t="n">
        <f aca="false">IF(AND(D24="",E24=""),"",AVERAGE(D24:E24))</f>
        <v>1.25</v>
      </c>
    </row>
    <row r="25" customFormat="false" ht="12.75" hidden="false" customHeight="false" outlineLevel="0" collapsed="false">
      <c r="A25" s="98"/>
      <c r="B25" s="98"/>
      <c r="C25" s="100" t="s">
        <v>255</v>
      </c>
      <c r="D25" s="101" t="n">
        <v>1</v>
      </c>
      <c r="E25" s="101" t="n">
        <v>0.22</v>
      </c>
      <c r="F25" s="102" t="n">
        <f aca="false">IF(AND(D25="",E25=""),"",AVERAGE(D25:E25))</f>
        <v>0.61</v>
      </c>
    </row>
    <row r="26" customFormat="false" ht="12.75" hidden="false" customHeight="false" outlineLevel="0" collapsed="false">
      <c r="A26" s="98"/>
      <c r="B26" s="98"/>
      <c r="C26" s="100" t="s">
        <v>256</v>
      </c>
      <c r="D26" s="101" t="n">
        <v>2.3</v>
      </c>
      <c r="E26" s="101" t="n">
        <v>1.6</v>
      </c>
      <c r="F26" s="102" t="n">
        <f aca="false">IF(AND(D26="",E26=""),"",AVERAGE(D26:E26))</f>
        <v>1.95</v>
      </c>
    </row>
    <row r="27" customFormat="false" ht="12.75" hidden="false" customHeight="false" outlineLevel="0" collapsed="false">
      <c r="A27" s="98"/>
      <c r="B27" s="98"/>
      <c r="C27" s="100" t="s">
        <v>257</v>
      </c>
      <c r="D27" s="101" t="n">
        <v>0.45</v>
      </c>
      <c r="E27" s="101" t="n">
        <v>0.5</v>
      </c>
      <c r="F27" s="102" t="n">
        <f aca="false">IF(AND(D27="",E27=""),"",AVERAGE(D27:E27))</f>
        <v>0.475</v>
      </c>
    </row>
    <row r="28" customFormat="false" ht="12.75" hidden="false" customHeight="false" outlineLevel="0" collapsed="false">
      <c r="A28" s="98"/>
      <c r="B28" s="98"/>
      <c r="C28" s="100" t="s">
        <v>258</v>
      </c>
      <c r="D28" s="101" t="n">
        <v>1.2</v>
      </c>
      <c r="E28" s="101" t="n">
        <v>1.5</v>
      </c>
      <c r="F28" s="102" t="n">
        <f aca="false">IF(AND(D28="",E28=""),"",AVERAGE(D28:E28))</f>
        <v>1.35</v>
      </c>
    </row>
    <row r="29" customFormat="false" ht="12.75" hidden="false" customHeight="false" outlineLevel="0" collapsed="false">
      <c r="A29" s="98"/>
      <c r="B29" s="99"/>
      <c r="C29" s="100" t="s">
        <v>259</v>
      </c>
      <c r="D29" s="101" t="n">
        <v>0.65</v>
      </c>
      <c r="E29" s="101" t="n">
        <v>1.2</v>
      </c>
      <c r="F29" s="102" t="n">
        <f aca="false">IF(AND(D29="",E29=""),"",AVERAGE(D29:E29))</f>
        <v>0.925</v>
      </c>
      <c r="G29" s="104"/>
    </row>
    <row r="30" customFormat="false" ht="15" hidden="false" customHeight="true" outlineLevel="0" collapsed="false">
      <c r="A30" s="98"/>
      <c r="B30" s="99" t="s">
        <v>132</v>
      </c>
      <c r="C30" s="100" t="s">
        <v>260</v>
      </c>
      <c r="D30" s="101" t="n">
        <v>2.2</v>
      </c>
      <c r="E30" s="101" t="n">
        <v>3</v>
      </c>
      <c r="F30" s="102" t="n">
        <f aca="false">IF(AND(D30="",E30=""),"",AVERAGE(D30:E30))</f>
        <v>2.6</v>
      </c>
    </row>
    <row r="31" customFormat="false" ht="12.75" hidden="false" customHeight="false" outlineLevel="0" collapsed="false">
      <c r="A31" s="98"/>
      <c r="B31" s="98"/>
      <c r="C31" s="100" t="s">
        <v>261</v>
      </c>
      <c r="D31" s="101" t="n">
        <v>2.7</v>
      </c>
      <c r="E31" s="101" t="n">
        <v>4.9</v>
      </c>
      <c r="F31" s="102" t="n">
        <f aca="false">IF(AND(D31="",E31=""),"",AVERAGE(D31:E31))</f>
        <v>3.8</v>
      </c>
    </row>
    <row r="32" customFormat="false" ht="12.75" hidden="false" customHeight="false" outlineLevel="0" collapsed="false">
      <c r="A32" s="98"/>
      <c r="B32" s="98"/>
      <c r="C32" s="100" t="s">
        <v>262</v>
      </c>
      <c r="D32" s="101" t="n">
        <v>3.4</v>
      </c>
      <c r="E32" s="101" t="n">
        <v>2.3</v>
      </c>
      <c r="F32" s="102" t="n">
        <f aca="false">IF(AND(D32="",E32=""),"",AVERAGE(D32:E32))</f>
        <v>2.85</v>
      </c>
    </row>
    <row r="33" customFormat="false" ht="12.75" hidden="false" customHeight="false" outlineLevel="0" collapsed="false">
      <c r="A33" s="98"/>
      <c r="B33" s="98"/>
      <c r="C33" s="100" t="s">
        <v>263</v>
      </c>
      <c r="D33" s="101" t="n">
        <v>1.5</v>
      </c>
      <c r="E33" s="101" t="n">
        <v>0.9</v>
      </c>
      <c r="F33" s="102" t="n">
        <f aca="false">IF(AND(D33="",E33=""),"",AVERAGE(D33:E33))</f>
        <v>1.2</v>
      </c>
    </row>
    <row r="34" customFormat="false" ht="12.75" hidden="false" customHeight="false" outlineLevel="0" collapsed="false">
      <c r="A34" s="98"/>
      <c r="B34" s="98"/>
      <c r="C34" s="100" t="s">
        <v>264</v>
      </c>
      <c r="D34" s="101" t="n">
        <v>1.8</v>
      </c>
      <c r="E34" s="101" t="n">
        <v>1.9</v>
      </c>
      <c r="F34" s="102" t="n">
        <f aca="false">IF(AND(D34="",E34=""),"",AVERAGE(D34:E34))</f>
        <v>1.85</v>
      </c>
    </row>
    <row r="35" customFormat="false" ht="12.75" hidden="false" customHeight="false" outlineLevel="0" collapsed="false">
      <c r="A35" s="98"/>
      <c r="B35" s="98"/>
      <c r="C35" s="100" t="s">
        <v>265</v>
      </c>
      <c r="D35" s="101" t="n">
        <v>0.3</v>
      </c>
      <c r="E35" s="101" t="n">
        <v>0.7</v>
      </c>
      <c r="F35" s="102" t="n">
        <f aca="false">IF(AND(D35="",E35=""),"",AVERAGE(D35:E35))</f>
        <v>0.5</v>
      </c>
    </row>
    <row r="36" customFormat="false" ht="12.75" hidden="false" customHeight="false" outlineLevel="0" collapsed="false">
      <c r="A36" s="98"/>
      <c r="B36" s="98"/>
      <c r="C36" s="100" t="s">
        <v>266</v>
      </c>
      <c r="D36" s="101" t="n">
        <v>0.65</v>
      </c>
      <c r="E36" s="101" t="n">
        <v>1.9</v>
      </c>
      <c r="F36" s="102" t="n">
        <f aca="false">IF(AND(D36="",E36=""),"",AVERAGE(D36:E36))</f>
        <v>1.275</v>
      </c>
    </row>
    <row r="37" customFormat="false" ht="12.75" hidden="false" customHeight="false" outlineLevel="0" collapsed="false">
      <c r="A37" s="98"/>
      <c r="B37" s="98"/>
      <c r="C37" s="100" t="s">
        <v>267</v>
      </c>
      <c r="D37" s="101" t="n">
        <v>1.1</v>
      </c>
      <c r="E37" s="101" t="n">
        <v>1.5</v>
      </c>
      <c r="F37" s="102" t="n">
        <f aca="false">IF(AND(D37="",E37=""),"",AVERAGE(D37:E37))</f>
        <v>1.3</v>
      </c>
    </row>
    <row r="38" customFormat="false" ht="12.75" hidden="false" customHeight="false" outlineLevel="0" collapsed="false">
      <c r="A38" s="98"/>
      <c r="B38" s="98"/>
      <c r="C38" s="100" t="s">
        <v>268</v>
      </c>
      <c r="D38" s="101" t="n">
        <v>2.5</v>
      </c>
      <c r="E38" s="101" t="n">
        <v>2.2</v>
      </c>
      <c r="F38" s="102" t="n">
        <f aca="false">IF(AND(D38="",E38=""),"",AVERAGE(D38:E38))</f>
        <v>2.35</v>
      </c>
    </row>
    <row r="39" customFormat="false" ht="24" hidden="false" customHeight="true" outlineLevel="0" collapsed="false">
      <c r="A39" s="98"/>
      <c r="B39" s="98"/>
      <c r="C39" s="100" t="s">
        <v>269</v>
      </c>
      <c r="D39" s="101" t="n">
        <v>1</v>
      </c>
      <c r="E39" s="101" t="n">
        <v>0.8</v>
      </c>
      <c r="F39" s="102" t="n">
        <f aca="false">IF(AND(D39="",E39=""),"",AVERAGE(D39:E39))</f>
        <v>0.9</v>
      </c>
    </row>
    <row r="40" customFormat="false" ht="24" hidden="false" customHeight="true" outlineLevel="0" collapsed="false">
      <c r="A40" s="98"/>
      <c r="B40" s="98"/>
      <c r="C40" s="100" t="s">
        <v>270</v>
      </c>
      <c r="D40" s="101" t="n">
        <v>1.5</v>
      </c>
      <c r="E40" s="101" t="n">
        <v>1.5</v>
      </c>
      <c r="F40" s="102" t="n">
        <f aca="false">IF(AND(D40="",E40=""),"",AVERAGE(D40:E40))</f>
        <v>1.5</v>
      </c>
    </row>
    <row r="41" customFormat="false" ht="12.75" hidden="false" customHeight="false" outlineLevel="0" collapsed="false">
      <c r="A41" s="98"/>
      <c r="B41" s="98"/>
      <c r="C41" s="100" t="s">
        <v>271</v>
      </c>
      <c r="D41" s="101" t="n">
        <v>1.3</v>
      </c>
      <c r="E41" s="101" t="n">
        <v>1.9</v>
      </c>
      <c r="F41" s="102" t="n">
        <f aca="false">IF(AND(D41="",E41=""),"",AVERAGE(D41:E41))</f>
        <v>1.6</v>
      </c>
    </row>
    <row r="42" customFormat="false" ht="12.75" hidden="false" customHeight="false" outlineLevel="0" collapsed="false">
      <c r="A42" s="98"/>
      <c r="B42" s="99"/>
      <c r="C42" s="100" t="s">
        <v>272</v>
      </c>
      <c r="D42" s="101" t="n">
        <v>3.4</v>
      </c>
      <c r="E42" s="101"/>
      <c r="F42" s="102" t="n">
        <f aca="false">IF(AND(D42="",E42=""),"",AVERAGE(D42:E42))</f>
        <v>3.4</v>
      </c>
    </row>
    <row r="43" customFormat="false" ht="15" hidden="false" customHeight="true" outlineLevel="0" collapsed="false">
      <c r="A43" s="98"/>
      <c r="B43" s="99" t="s">
        <v>134</v>
      </c>
      <c r="C43" s="100" t="s">
        <v>273</v>
      </c>
      <c r="D43" s="101" t="n">
        <v>2.9</v>
      </c>
      <c r="E43" s="101" t="n">
        <v>2.1</v>
      </c>
      <c r="F43" s="102" t="n">
        <f aca="false">IF(AND(D43="",E43=""),"",AVERAGE(D43:E43))</f>
        <v>2.5</v>
      </c>
    </row>
    <row r="44" customFormat="false" ht="12.75" hidden="false" customHeight="false" outlineLevel="0" collapsed="false">
      <c r="A44" s="98"/>
      <c r="B44" s="98"/>
      <c r="C44" s="100" t="s">
        <v>274</v>
      </c>
      <c r="D44" s="101" t="n">
        <v>3.7</v>
      </c>
      <c r="E44" s="101" t="n">
        <v>2.1</v>
      </c>
      <c r="F44" s="102" t="n">
        <f aca="false">IF(AND(D44="",E44=""),"",AVERAGE(D44:E44))</f>
        <v>2.9</v>
      </c>
    </row>
    <row r="45" customFormat="false" ht="12.75" hidden="false" customHeight="false" outlineLevel="0" collapsed="false">
      <c r="A45" s="98"/>
      <c r="B45" s="98"/>
      <c r="C45" s="100" t="s">
        <v>275</v>
      </c>
      <c r="D45" s="101" t="n">
        <v>1</v>
      </c>
      <c r="E45" s="101" t="n">
        <v>1</v>
      </c>
      <c r="F45" s="102" t="n">
        <f aca="false">IF(AND(D45="",E45=""),"",AVERAGE(D45:E45))</f>
        <v>1</v>
      </c>
    </row>
    <row r="46" customFormat="false" ht="12.75" hidden="false" customHeight="false" outlineLevel="0" collapsed="false">
      <c r="A46" s="98"/>
      <c r="B46" s="98"/>
      <c r="C46" s="100" t="s">
        <v>276</v>
      </c>
      <c r="D46" s="101" t="n">
        <v>2.6</v>
      </c>
      <c r="E46" s="101" t="n">
        <v>1.9</v>
      </c>
      <c r="F46" s="102" t="n">
        <f aca="false">IF(AND(D46="",E46=""),"",AVERAGE(D46:E46))</f>
        <v>2.25</v>
      </c>
    </row>
    <row r="47" customFormat="false" ht="12.75" hidden="false" customHeight="false" outlineLevel="0" collapsed="false">
      <c r="A47" s="98"/>
      <c r="B47" s="98"/>
      <c r="C47" s="100" t="s">
        <v>277</v>
      </c>
      <c r="D47" s="101" t="n">
        <v>1.4</v>
      </c>
      <c r="E47" s="101" t="n">
        <v>4.3</v>
      </c>
      <c r="F47" s="102" t="n">
        <f aca="false">IF(AND(D47="",E47=""),"",AVERAGE(D47:E47))</f>
        <v>2.85</v>
      </c>
    </row>
    <row r="48" customFormat="false" ht="12.75" hidden="false" customHeight="false" outlineLevel="0" collapsed="false">
      <c r="A48" s="98"/>
      <c r="B48" s="98"/>
      <c r="C48" s="100" t="s">
        <v>278</v>
      </c>
      <c r="D48" s="101" t="n">
        <v>0.8</v>
      </c>
      <c r="E48" s="101" t="n">
        <v>3.7</v>
      </c>
      <c r="F48" s="102" t="n">
        <f aca="false">IF(AND(D48="",E48=""),"",AVERAGE(D48:E48))</f>
        <v>2.25</v>
      </c>
    </row>
    <row r="49" customFormat="false" ht="12.75" hidden="false" customHeight="false" outlineLevel="0" collapsed="false">
      <c r="A49" s="98"/>
      <c r="B49" s="98"/>
      <c r="C49" s="100" t="s">
        <v>279</v>
      </c>
      <c r="D49" s="101" t="n">
        <v>2.9</v>
      </c>
      <c r="E49" s="101" t="n">
        <v>2.9</v>
      </c>
      <c r="F49" s="102" t="n">
        <f aca="false">IF(AND(D49="",E49=""),"",AVERAGE(D49:E49))</f>
        <v>2.9</v>
      </c>
    </row>
    <row r="50" customFormat="false" ht="12.75" hidden="false" customHeight="false" outlineLevel="0" collapsed="false">
      <c r="A50" s="98"/>
      <c r="B50" s="98"/>
      <c r="C50" s="100" t="s">
        <v>280</v>
      </c>
      <c r="D50" s="101" t="n">
        <v>1.8</v>
      </c>
      <c r="E50" s="101" t="n">
        <v>2.7</v>
      </c>
      <c r="F50" s="102" t="n">
        <f aca="false">IF(AND(D50="",E50=""),"",AVERAGE(D50:E50))</f>
        <v>2.25</v>
      </c>
    </row>
    <row r="51" customFormat="false" ht="12.75" hidden="false" customHeight="false" outlineLevel="0" collapsed="false">
      <c r="A51" s="98"/>
      <c r="B51" s="98"/>
      <c r="C51" s="100" t="s">
        <v>281</v>
      </c>
      <c r="D51" s="101" t="n">
        <v>2.1</v>
      </c>
      <c r="E51" s="101" t="n">
        <v>3.4</v>
      </c>
      <c r="F51" s="102" t="n">
        <f aca="false">IF(AND(D51="",E51=""),"",AVERAGE(D51:E51))</f>
        <v>2.75</v>
      </c>
    </row>
    <row r="52" customFormat="false" ht="12.75" hidden="false" customHeight="false" outlineLevel="0" collapsed="false">
      <c r="A52" s="98"/>
      <c r="B52" s="98"/>
      <c r="C52" s="100" t="s">
        <v>282</v>
      </c>
      <c r="D52" s="101" t="n">
        <v>1</v>
      </c>
      <c r="E52" s="101" t="n">
        <v>1.8</v>
      </c>
      <c r="F52" s="102" t="n">
        <f aca="false">IF(AND(D52="",E52=""),"",AVERAGE(D52:E52))</f>
        <v>1.4</v>
      </c>
    </row>
    <row r="53" customFormat="false" ht="12.75" hidden="false" customHeight="false" outlineLevel="0" collapsed="false">
      <c r="A53" s="98"/>
      <c r="B53" s="98"/>
      <c r="C53" s="100" t="s">
        <v>283</v>
      </c>
      <c r="D53" s="101" t="n">
        <v>0.7</v>
      </c>
      <c r="E53" s="101" t="n">
        <v>3.1</v>
      </c>
      <c r="F53" s="102" t="n">
        <f aca="false">IF(AND(D53="",E53=""),"",AVERAGE(D53:E53))</f>
        <v>1.9</v>
      </c>
    </row>
    <row r="54" customFormat="false" ht="12.75" hidden="false" customHeight="false" outlineLevel="0" collapsed="false">
      <c r="A54" s="98"/>
      <c r="B54" s="98"/>
      <c r="C54" s="100" t="s">
        <v>284</v>
      </c>
      <c r="D54" s="101" t="n">
        <v>1.4</v>
      </c>
      <c r="E54" s="101" t="n">
        <v>2.5</v>
      </c>
      <c r="F54" s="102" t="n">
        <f aca="false">IF(AND(D54="",E54=""),"",AVERAGE(D54:E54))</f>
        <v>1.95</v>
      </c>
    </row>
    <row r="55" customFormat="false" ht="12.75" hidden="false" customHeight="false" outlineLevel="0" collapsed="false">
      <c r="A55" s="98"/>
      <c r="B55" s="99"/>
      <c r="C55" s="100" t="s">
        <v>285</v>
      </c>
      <c r="D55" s="101" t="n">
        <v>3.9</v>
      </c>
      <c r="E55" s="101" t="n">
        <v>4.2</v>
      </c>
      <c r="F55" s="102" t="n">
        <f aca="false">IF(AND(D55="",E55=""),"",AVERAGE(D55:E55))</f>
        <v>4.05</v>
      </c>
      <c r="G55" s="104"/>
    </row>
    <row r="56" customFormat="false" ht="15" hidden="false" customHeight="true" outlineLevel="0" collapsed="false">
      <c r="A56" s="98"/>
      <c r="B56" s="99" t="s">
        <v>135</v>
      </c>
      <c r="C56" s="100" t="s">
        <v>286</v>
      </c>
      <c r="D56" s="101" t="n">
        <v>2.4</v>
      </c>
      <c r="E56" s="101" t="n">
        <v>2.3</v>
      </c>
      <c r="F56" s="102" t="n">
        <f aca="false">IF(AND(D56="",E56=""),"",AVERAGE(D56:E56))</f>
        <v>2.35</v>
      </c>
    </row>
    <row r="57" customFormat="false" ht="12.75" hidden="false" customHeight="false" outlineLevel="0" collapsed="false">
      <c r="A57" s="98"/>
      <c r="B57" s="98"/>
      <c r="C57" s="100" t="s">
        <v>287</v>
      </c>
      <c r="D57" s="101" t="n">
        <v>0.5</v>
      </c>
      <c r="E57" s="101" t="n">
        <v>0.6</v>
      </c>
      <c r="F57" s="102" t="n">
        <f aca="false">IF(AND(D57="",E57=""),"",AVERAGE(D57:E57))</f>
        <v>0.55</v>
      </c>
    </row>
    <row r="58" customFormat="false" ht="12.75" hidden="false" customHeight="false" outlineLevel="0" collapsed="false">
      <c r="A58" s="98"/>
      <c r="B58" s="98"/>
      <c r="C58" s="100" t="s">
        <v>288</v>
      </c>
      <c r="D58" s="101" t="n">
        <v>1.2</v>
      </c>
      <c r="E58" s="101" t="n">
        <v>1.4</v>
      </c>
      <c r="F58" s="102" t="n">
        <f aca="false">IF(AND(D58="",E58=""),"",AVERAGE(D58:E58))</f>
        <v>1.3</v>
      </c>
    </row>
    <row r="59" customFormat="false" ht="24" hidden="false" customHeight="true" outlineLevel="0" collapsed="false">
      <c r="A59" s="98"/>
      <c r="B59" s="98"/>
      <c r="C59" s="100" t="s">
        <v>289</v>
      </c>
      <c r="D59" s="101" t="n">
        <v>0.8</v>
      </c>
      <c r="E59" s="101" t="n">
        <v>1.1</v>
      </c>
      <c r="F59" s="102" t="n">
        <f aca="false">IF(AND(D59="",E59=""),"",AVERAGE(D59:E59))</f>
        <v>0.95</v>
      </c>
    </row>
    <row r="60" customFormat="false" ht="24" hidden="false" customHeight="true" outlineLevel="0" collapsed="false">
      <c r="A60" s="98"/>
      <c r="B60" s="98"/>
      <c r="C60" s="100" t="s">
        <v>290</v>
      </c>
      <c r="D60" s="101" t="n">
        <v>0.3</v>
      </c>
      <c r="E60" s="101" t="n">
        <v>0.7</v>
      </c>
      <c r="F60" s="102" t="n">
        <f aca="false">IF(AND(D60="",E60=""),"",AVERAGE(D60:E60))</f>
        <v>0.5</v>
      </c>
    </row>
    <row r="61" customFormat="false" ht="24" hidden="false" customHeight="true" outlineLevel="0" collapsed="false">
      <c r="A61" s="98"/>
      <c r="B61" s="98"/>
      <c r="C61" s="100" t="s">
        <v>291</v>
      </c>
      <c r="D61" s="101" t="n">
        <v>0.5</v>
      </c>
      <c r="E61" s="101" t="n">
        <v>1.6</v>
      </c>
      <c r="F61" s="102" t="n">
        <f aca="false">IF(AND(D61="",E61=""),"",AVERAGE(D61:E61))</f>
        <v>1.05</v>
      </c>
    </row>
    <row r="62" customFormat="false" ht="12.75" hidden="false" customHeight="false" outlineLevel="0" collapsed="false">
      <c r="A62" s="98"/>
      <c r="B62" s="98"/>
      <c r="C62" s="100" t="s">
        <v>292</v>
      </c>
      <c r="D62" s="101" t="n">
        <v>0.6</v>
      </c>
      <c r="E62" s="101" t="n">
        <v>1.4</v>
      </c>
      <c r="F62" s="102" t="n">
        <f aca="false">IF(AND(D62="",E62=""),"",AVERAGE(D62:E62))</f>
        <v>1</v>
      </c>
    </row>
    <row r="63" customFormat="false" ht="12.75" hidden="false" customHeight="false" outlineLevel="0" collapsed="false">
      <c r="A63" s="98"/>
      <c r="B63" s="98"/>
      <c r="C63" s="100" t="s">
        <v>293</v>
      </c>
      <c r="D63" s="101" t="n">
        <v>0.4</v>
      </c>
      <c r="E63" s="101" t="n">
        <v>0.6</v>
      </c>
      <c r="F63" s="102" t="n">
        <f aca="false">IF(AND(D63="",E63=""),"",AVERAGE(D63:E63))</f>
        <v>0.5</v>
      </c>
    </row>
    <row r="64" customFormat="false" ht="12.75" hidden="false" customHeight="false" outlineLevel="0" collapsed="false">
      <c r="A64" s="98"/>
      <c r="B64" s="98"/>
      <c r="C64" s="100" t="s">
        <v>294</v>
      </c>
      <c r="D64" s="101" t="n">
        <v>1.5</v>
      </c>
      <c r="E64" s="101" t="n">
        <v>1.3</v>
      </c>
      <c r="F64" s="102" t="n">
        <f aca="false">IF(AND(D64="",E64=""),"",AVERAGE(D64:E64))</f>
        <v>1.4</v>
      </c>
    </row>
    <row r="65" customFormat="false" ht="12.75" hidden="false" customHeight="false" outlineLevel="0" collapsed="false">
      <c r="A65" s="98"/>
      <c r="B65" s="98"/>
      <c r="C65" s="100" t="s">
        <v>295</v>
      </c>
      <c r="D65" s="101" t="n">
        <v>1.3</v>
      </c>
      <c r="E65" s="101" t="n">
        <v>1.4</v>
      </c>
      <c r="F65" s="102" t="n">
        <f aca="false">IF(AND(D65="",E65=""),"",AVERAGE(D65:E65))</f>
        <v>1.35</v>
      </c>
    </row>
    <row r="66" customFormat="false" ht="12.75" hidden="false" customHeight="false" outlineLevel="0" collapsed="false">
      <c r="A66" s="98"/>
      <c r="B66" s="98"/>
      <c r="C66" s="100" t="s">
        <v>296</v>
      </c>
      <c r="D66" s="101" t="n">
        <v>1.7</v>
      </c>
      <c r="E66" s="101" t="n">
        <v>1.8</v>
      </c>
      <c r="F66" s="102" t="n">
        <f aca="false">IF(AND(D66="",E66=""),"",AVERAGE(D66:E66))</f>
        <v>1.75</v>
      </c>
    </row>
    <row r="67" customFormat="false" ht="12.75" hidden="false" customHeight="false" outlineLevel="0" collapsed="false">
      <c r="A67" s="98"/>
      <c r="B67" s="98"/>
      <c r="C67" s="100" t="s">
        <v>297</v>
      </c>
      <c r="D67" s="101" t="n">
        <v>0.7</v>
      </c>
      <c r="E67" s="101" t="n">
        <v>1</v>
      </c>
      <c r="F67" s="102" t="n">
        <f aca="false">IF(AND(D67="",E67=""),"",AVERAGE(D67:E67))</f>
        <v>0.85</v>
      </c>
    </row>
    <row r="68" customFormat="false" ht="12.75" hidden="false" customHeight="false" outlineLevel="0" collapsed="false">
      <c r="A68" s="98"/>
      <c r="B68" s="98"/>
      <c r="C68" s="100" t="s">
        <v>298</v>
      </c>
      <c r="D68" s="101" t="n">
        <v>2.4</v>
      </c>
      <c r="E68" s="101" t="n">
        <v>2.6</v>
      </c>
      <c r="F68" s="102" t="n">
        <f aca="false">IF(AND(D68="",E68=""),"",AVERAGE(D68:E68))</f>
        <v>2.5</v>
      </c>
      <c r="G68" s="104"/>
    </row>
    <row r="69" customFormat="false" ht="15" hidden="false" customHeight="true" outlineLevel="0" collapsed="false">
      <c r="A69" s="105" t="s">
        <v>299</v>
      </c>
      <c r="B69" s="99" t="s">
        <v>130</v>
      </c>
      <c r="C69" s="100" t="s">
        <v>300</v>
      </c>
      <c r="D69" s="101" t="n">
        <v>1.1</v>
      </c>
      <c r="E69" s="101" t="n">
        <v>0.9</v>
      </c>
      <c r="F69" s="102" t="n">
        <f aca="false">IF(AND(D69="",E69=""),"",AVERAGE(D69:E69))</f>
        <v>1</v>
      </c>
    </row>
    <row r="70" customFormat="false" ht="12.75" hidden="false" customHeight="false" outlineLevel="0" collapsed="false">
      <c r="A70" s="105"/>
      <c r="B70" s="105"/>
      <c r="C70" s="100" t="s">
        <v>242</v>
      </c>
      <c r="D70" s="101" t="n">
        <v>1</v>
      </c>
      <c r="E70" s="101" t="n">
        <v>2.7</v>
      </c>
      <c r="F70" s="102" t="n">
        <f aca="false">IF(AND(D70="",E70=""),"",AVERAGE(D70:E70))</f>
        <v>1.85</v>
      </c>
    </row>
    <row r="71" customFormat="false" ht="12.75" hidden="false" customHeight="false" outlineLevel="0" collapsed="false">
      <c r="A71" s="105"/>
      <c r="B71" s="105"/>
      <c r="C71" s="100" t="s">
        <v>243</v>
      </c>
      <c r="D71" s="101" t="n">
        <v>0.9</v>
      </c>
      <c r="E71" s="101" t="n">
        <v>2.8</v>
      </c>
      <c r="F71" s="102" t="n">
        <f aca="false">IF(AND(D71="",E71=""),"",AVERAGE(D71:E71))</f>
        <v>1.85</v>
      </c>
    </row>
    <row r="72" customFormat="false" ht="12.75" hidden="false" customHeight="false" outlineLevel="0" collapsed="false">
      <c r="A72" s="105"/>
      <c r="B72" s="105"/>
      <c r="C72" s="100" t="s">
        <v>244</v>
      </c>
      <c r="D72" s="101" t="n">
        <v>2</v>
      </c>
      <c r="E72" s="101" t="n">
        <v>1.6</v>
      </c>
      <c r="F72" s="102" t="n">
        <f aca="false">IF(AND(D72="",E72=""),"",AVERAGE(D72:E72))</f>
        <v>1.8</v>
      </c>
    </row>
    <row r="73" customFormat="false" ht="12.75" hidden="false" customHeight="false" outlineLevel="0" collapsed="false">
      <c r="A73" s="105"/>
      <c r="B73" s="105"/>
      <c r="C73" s="100" t="s">
        <v>245</v>
      </c>
      <c r="D73" s="101" t="n">
        <v>1.3</v>
      </c>
      <c r="E73" s="101" t="n">
        <v>2.1</v>
      </c>
      <c r="F73" s="102" t="n">
        <f aca="false">IF(AND(D73="",E73=""),"",AVERAGE(D73:E73))</f>
        <v>1.7</v>
      </c>
    </row>
    <row r="74" customFormat="false" ht="12.75" hidden="false" customHeight="false" outlineLevel="0" collapsed="false">
      <c r="A74" s="105"/>
      <c r="B74" s="105"/>
      <c r="C74" s="100" t="s">
        <v>301</v>
      </c>
      <c r="D74" s="101" t="n">
        <v>2.6</v>
      </c>
      <c r="E74" s="101" t="n">
        <v>2.8</v>
      </c>
      <c r="F74" s="102" t="n">
        <f aca="false">IF(AND(D74="",E74=""),"",AVERAGE(D74:E74))</f>
        <v>2.7</v>
      </c>
    </row>
    <row r="75" customFormat="false" ht="12.75" hidden="false" customHeight="false" outlineLevel="0" collapsed="false">
      <c r="A75" s="105"/>
      <c r="B75" s="105"/>
      <c r="C75" s="100" t="s">
        <v>233</v>
      </c>
      <c r="D75" s="101" t="n">
        <v>2.1</v>
      </c>
      <c r="E75" s="101" t="n">
        <v>3.9</v>
      </c>
      <c r="F75" s="102" t="n">
        <f aca="false">IF(AND(D75="",E75=""),"",AVERAGE(D75:E75))</f>
        <v>3</v>
      </c>
      <c r="G75" s="103" t="s">
        <v>234</v>
      </c>
    </row>
    <row r="76" customFormat="false" ht="12.75" hidden="false" customHeight="false" outlineLevel="0" collapsed="false">
      <c r="A76" s="105"/>
      <c r="B76" s="105"/>
      <c r="C76" s="100" t="s">
        <v>235</v>
      </c>
      <c r="D76" s="101" t="n">
        <v>0.9</v>
      </c>
      <c r="E76" s="101" t="n">
        <v>4.2</v>
      </c>
      <c r="F76" s="102" t="n">
        <f aca="false">IF(AND(D76="",E76=""),"",AVERAGE(D76:E76))</f>
        <v>2.55</v>
      </c>
      <c r="G76" s="103" t="s">
        <v>236</v>
      </c>
    </row>
    <row r="77" customFormat="false" ht="12.75" hidden="false" customHeight="false" outlineLevel="0" collapsed="false">
      <c r="A77" s="105"/>
      <c r="B77" s="105"/>
      <c r="C77" s="100" t="s">
        <v>237</v>
      </c>
      <c r="D77" s="101" t="n">
        <v>2.5</v>
      </c>
      <c r="E77" s="101" t="n">
        <v>2.9</v>
      </c>
      <c r="F77" s="102" t="n">
        <f aca="false">IF(AND(D77="",E77=""),"",AVERAGE(D77:E77))</f>
        <v>2.7</v>
      </c>
    </row>
    <row r="78" customFormat="false" ht="12.75" hidden="false" customHeight="false" outlineLevel="0" collapsed="false">
      <c r="A78" s="105"/>
      <c r="B78" s="105"/>
      <c r="C78" s="100" t="s">
        <v>238</v>
      </c>
      <c r="D78" s="101" t="n">
        <v>0.3</v>
      </c>
      <c r="E78" s="101" t="n">
        <v>0.6</v>
      </c>
      <c r="F78" s="102" t="n">
        <f aca="false">IF(AND(D78="",E78=""),"",AVERAGE(D78:E78))</f>
        <v>0.45</v>
      </c>
    </row>
    <row r="79" customFormat="false" ht="12.75" hidden="false" customHeight="false" outlineLevel="0" collapsed="false">
      <c r="A79" s="105"/>
      <c r="B79" s="105"/>
      <c r="C79" s="100" t="s">
        <v>239</v>
      </c>
      <c r="D79" s="101" t="n">
        <v>1.8</v>
      </c>
      <c r="E79" s="101" t="n">
        <v>2.2</v>
      </c>
      <c r="F79" s="102" t="n">
        <f aca="false">IF(AND(D79="",E79=""),"",AVERAGE(D79:E79))</f>
        <v>2</v>
      </c>
    </row>
    <row r="80" customFormat="false" ht="12.75" hidden="false" customHeight="false" outlineLevel="0" collapsed="false">
      <c r="A80" s="105"/>
      <c r="B80" s="105"/>
      <c r="C80" s="100" t="s">
        <v>240</v>
      </c>
      <c r="D80" s="101" t="n">
        <v>1.5</v>
      </c>
      <c r="E80" s="101" t="n">
        <v>3.1</v>
      </c>
      <c r="F80" s="102" t="n">
        <f aca="false">IF(AND(D80="",E80=""),"",AVERAGE(D80:E80))</f>
        <v>2.3</v>
      </c>
    </row>
    <row r="81" customFormat="false" ht="12.75" hidden="false" customHeight="false" outlineLevel="0" collapsed="false">
      <c r="A81" s="105"/>
      <c r="B81" s="99"/>
      <c r="C81" s="100" t="s">
        <v>302</v>
      </c>
      <c r="D81" s="101" t="n">
        <v>3.6</v>
      </c>
      <c r="E81" s="101" t="n">
        <v>3.2</v>
      </c>
      <c r="F81" s="102" t="n">
        <f aca="false">IF(AND(D81="",E81=""),"",AVERAGE(D81:E81))</f>
        <v>3.4</v>
      </c>
      <c r="G81" s="104"/>
    </row>
    <row r="82" customFormat="false" ht="15" hidden="false" customHeight="true" outlineLevel="0" collapsed="false">
      <c r="A82" s="105"/>
      <c r="B82" s="99" t="s">
        <v>131</v>
      </c>
      <c r="C82" s="100" t="s">
        <v>303</v>
      </c>
      <c r="D82" s="101" t="n">
        <v>6.6</v>
      </c>
      <c r="E82" s="101" t="n">
        <v>7.3</v>
      </c>
      <c r="F82" s="102" t="n">
        <f aca="false">IF(AND(D82="",E82=""),"",AVERAGE(D82:E82))</f>
        <v>6.95</v>
      </c>
    </row>
    <row r="83" customFormat="false" ht="12.75" hidden="false" customHeight="false" outlineLevel="0" collapsed="false">
      <c r="A83" s="105"/>
      <c r="B83" s="105"/>
      <c r="C83" s="100" t="s">
        <v>249</v>
      </c>
      <c r="D83" s="101" t="n">
        <v>1.2</v>
      </c>
      <c r="E83" s="101" t="n">
        <v>1.2</v>
      </c>
      <c r="F83" s="102" t="n">
        <f aca="false">IF(AND(D83="",E83=""),"",AVERAGE(D83:E83))</f>
        <v>1.2</v>
      </c>
    </row>
    <row r="84" customFormat="false" ht="24" hidden="false" customHeight="true" outlineLevel="0" collapsed="false">
      <c r="A84" s="105"/>
      <c r="B84" s="105"/>
      <c r="C84" s="100" t="s">
        <v>250</v>
      </c>
      <c r="D84" s="101" t="n">
        <v>2.3</v>
      </c>
      <c r="E84" s="101" t="n">
        <v>2.1</v>
      </c>
      <c r="F84" s="102" t="n">
        <f aca="false">IF(AND(D84="",E84=""),"",AVERAGE(D84:E84))</f>
        <v>2.2</v>
      </c>
    </row>
    <row r="85" customFormat="false" ht="24" hidden="false" customHeight="true" outlineLevel="0" collapsed="false">
      <c r="A85" s="105"/>
      <c r="B85" s="105"/>
      <c r="C85" s="100" t="s">
        <v>251</v>
      </c>
      <c r="D85" s="101" t="n">
        <v>0.55</v>
      </c>
      <c r="E85" s="101" t="n">
        <v>1.4</v>
      </c>
      <c r="F85" s="102" t="n">
        <f aca="false">IF(AND(D85="",E85=""),"",AVERAGE(D85:E85))</f>
        <v>0.975</v>
      </c>
    </row>
    <row r="86" customFormat="false" ht="12.75" hidden="false" customHeight="false" outlineLevel="0" collapsed="false">
      <c r="A86" s="105"/>
      <c r="B86" s="105"/>
      <c r="C86" s="100" t="s">
        <v>252</v>
      </c>
      <c r="D86" s="101" t="n">
        <v>3.9</v>
      </c>
      <c r="E86" s="101" t="n">
        <v>3.2</v>
      </c>
      <c r="F86" s="102" t="n">
        <f aca="false">IF(AND(D86="",E86=""),"",AVERAGE(D86:E86))</f>
        <v>3.55</v>
      </c>
    </row>
    <row r="87" customFormat="false" ht="12.75" hidden="false" customHeight="false" outlineLevel="0" collapsed="false">
      <c r="A87" s="105"/>
      <c r="B87" s="105"/>
      <c r="C87" s="100" t="s">
        <v>253</v>
      </c>
      <c r="D87" s="101" t="n">
        <v>2.1</v>
      </c>
      <c r="E87" s="101" t="n">
        <v>1.6</v>
      </c>
      <c r="F87" s="102" t="n">
        <f aca="false">IF(AND(D87="",E87=""),"",AVERAGE(D87:E87))</f>
        <v>1.85</v>
      </c>
    </row>
    <row r="88" customFormat="false" ht="12.75" hidden="false" customHeight="false" outlineLevel="0" collapsed="false">
      <c r="A88" s="105"/>
      <c r="B88" s="105"/>
      <c r="C88" s="100" t="s">
        <v>254</v>
      </c>
      <c r="D88" s="101" t="n">
        <v>1.5</v>
      </c>
      <c r="E88" s="101" t="n">
        <v>1</v>
      </c>
      <c r="F88" s="102" t="n">
        <f aca="false">IF(AND(D88="",E88=""),"",AVERAGE(D88:E88))</f>
        <v>1.25</v>
      </c>
    </row>
    <row r="89" customFormat="false" ht="12.75" hidden="false" customHeight="false" outlineLevel="0" collapsed="false">
      <c r="A89" s="105"/>
      <c r="B89" s="105"/>
      <c r="C89" s="100" t="s">
        <v>255</v>
      </c>
      <c r="D89" s="101" t="n">
        <v>1</v>
      </c>
      <c r="E89" s="101" t="n">
        <v>0.22</v>
      </c>
      <c r="F89" s="102" t="n">
        <f aca="false">IF(AND(D89="",E89=""),"",AVERAGE(D89:E89))</f>
        <v>0.61</v>
      </c>
    </row>
    <row r="90" customFormat="false" ht="12.75" hidden="false" customHeight="false" outlineLevel="0" collapsed="false">
      <c r="A90" s="105"/>
      <c r="B90" s="105"/>
      <c r="C90" s="100" t="s">
        <v>256</v>
      </c>
      <c r="D90" s="101" t="n">
        <v>2.3</v>
      </c>
      <c r="E90" s="101" t="n">
        <v>1.6</v>
      </c>
      <c r="F90" s="102" t="n">
        <f aca="false">IF(AND(D90="",E90=""),"",AVERAGE(D90:E90))</f>
        <v>1.95</v>
      </c>
    </row>
    <row r="91" customFormat="false" ht="12.75" hidden="false" customHeight="false" outlineLevel="0" collapsed="false">
      <c r="A91" s="105"/>
      <c r="B91" s="105"/>
      <c r="C91" s="100" t="s">
        <v>257</v>
      </c>
      <c r="D91" s="101" t="n">
        <v>0.45</v>
      </c>
      <c r="E91" s="101" t="n">
        <v>0.5</v>
      </c>
      <c r="F91" s="102" t="n">
        <f aca="false">IF(AND(D91="",E91=""),"",AVERAGE(D91:E91))</f>
        <v>0.475</v>
      </c>
    </row>
    <row r="92" customFormat="false" ht="12.75" hidden="false" customHeight="false" outlineLevel="0" collapsed="false">
      <c r="A92" s="105"/>
      <c r="B92" s="105"/>
      <c r="C92" s="100" t="s">
        <v>258</v>
      </c>
      <c r="D92" s="101" t="n">
        <v>1.2</v>
      </c>
      <c r="E92" s="101" t="n">
        <v>1.5</v>
      </c>
      <c r="F92" s="102" t="n">
        <f aca="false">IF(AND(D92="",E92=""),"",AVERAGE(D92:E92))</f>
        <v>1.35</v>
      </c>
    </row>
    <row r="93" customFormat="false" ht="12.75" hidden="false" customHeight="false" outlineLevel="0" collapsed="false">
      <c r="A93" s="105"/>
      <c r="B93" s="105"/>
      <c r="C93" s="100" t="s">
        <v>304</v>
      </c>
      <c r="D93" s="101" t="n">
        <v>0.6</v>
      </c>
      <c r="E93" s="101" t="n">
        <v>1</v>
      </c>
      <c r="F93" s="102" t="n">
        <f aca="false">IF(AND(D93="",E93=""),"",AVERAGE(D93:E93))</f>
        <v>0.8</v>
      </c>
    </row>
    <row r="94" customFormat="false" ht="12.75" hidden="false" customHeight="false" outlineLevel="0" collapsed="false">
      <c r="A94" s="105"/>
      <c r="B94" s="99"/>
      <c r="C94" s="100" t="s">
        <v>305</v>
      </c>
      <c r="D94" s="101" t="n">
        <v>8.1</v>
      </c>
      <c r="E94" s="101" t="n">
        <v>8</v>
      </c>
      <c r="F94" s="102" t="n">
        <f aca="false">IF(AND(D94="",E94=""),"",AVERAGE(D94:E94))</f>
        <v>8.05</v>
      </c>
    </row>
    <row r="95" customFormat="false" ht="15" hidden="false" customHeight="true" outlineLevel="0" collapsed="false">
      <c r="A95" s="105"/>
      <c r="B95" s="99" t="s">
        <v>132</v>
      </c>
      <c r="C95" s="100" t="s">
        <v>306</v>
      </c>
      <c r="D95" s="101" t="n">
        <v>2.4</v>
      </c>
      <c r="E95" s="101" t="n">
        <v>2.8</v>
      </c>
      <c r="F95" s="102" t="n">
        <f aca="false">IF(AND(D95="",E95=""),"",AVERAGE(D95:E95))</f>
        <v>2.6</v>
      </c>
    </row>
    <row r="96" customFormat="false" ht="24" hidden="false" customHeight="true" outlineLevel="0" collapsed="false">
      <c r="A96" s="105"/>
      <c r="B96" s="105"/>
      <c r="C96" s="100" t="s">
        <v>270</v>
      </c>
      <c r="D96" s="101" t="n">
        <v>1.5</v>
      </c>
      <c r="E96" s="101" t="n">
        <v>1.5</v>
      </c>
      <c r="F96" s="102" t="n">
        <f aca="false">IF(AND(D96="",E96=""),"",AVERAGE(D96:E96))</f>
        <v>1.5</v>
      </c>
    </row>
    <row r="97" customFormat="false" ht="12.75" hidden="false" customHeight="false" outlineLevel="0" collapsed="false">
      <c r="A97" s="105"/>
      <c r="B97" s="105"/>
      <c r="C97" s="100" t="s">
        <v>271</v>
      </c>
      <c r="D97" s="101" t="n">
        <v>1.3</v>
      </c>
      <c r="E97" s="101" t="n">
        <v>1.9</v>
      </c>
      <c r="F97" s="102" t="n">
        <f aca="false">IF(AND(D97="",E97=""),"",AVERAGE(D97:E97))</f>
        <v>1.6</v>
      </c>
    </row>
    <row r="98" customFormat="false" ht="12.75" hidden="false" customHeight="false" outlineLevel="0" collapsed="false">
      <c r="A98" s="105"/>
      <c r="B98" s="105"/>
      <c r="C98" s="100" t="s">
        <v>307</v>
      </c>
      <c r="D98" s="101" t="n">
        <v>3.2</v>
      </c>
      <c r="E98" s="101" t="n">
        <v>2</v>
      </c>
      <c r="F98" s="102" t="n">
        <f aca="false">IF(AND(D98="",E98=""),"",AVERAGE(D98:E98))</f>
        <v>2.6</v>
      </c>
    </row>
    <row r="99" customFormat="false" ht="12.75" hidden="false" customHeight="false" outlineLevel="0" collapsed="false">
      <c r="A99" s="105"/>
      <c r="B99" s="105"/>
      <c r="C99" s="100" t="s">
        <v>261</v>
      </c>
      <c r="D99" s="101" t="n">
        <v>2.7</v>
      </c>
      <c r="E99" s="101" t="n">
        <v>4.9</v>
      </c>
      <c r="F99" s="102" t="n">
        <f aca="false">IF(AND(D99="",E99=""),"",AVERAGE(D99:E99))</f>
        <v>3.8</v>
      </c>
    </row>
    <row r="100" customFormat="false" ht="12.75" hidden="false" customHeight="false" outlineLevel="0" collapsed="false">
      <c r="A100" s="105"/>
      <c r="B100" s="105"/>
      <c r="C100" s="100" t="s">
        <v>262</v>
      </c>
      <c r="D100" s="101" t="n">
        <v>3.4</v>
      </c>
      <c r="E100" s="101" t="n">
        <v>2.3</v>
      </c>
      <c r="F100" s="102" t="n">
        <f aca="false">IF(AND(D100="",E100=""),"",AVERAGE(D100:E100))</f>
        <v>2.85</v>
      </c>
    </row>
    <row r="101" customFormat="false" ht="12.75" hidden="false" customHeight="false" outlineLevel="0" collapsed="false">
      <c r="A101" s="105"/>
      <c r="B101" s="105"/>
      <c r="C101" s="100" t="s">
        <v>263</v>
      </c>
      <c r="D101" s="101" t="n">
        <v>1.5</v>
      </c>
      <c r="E101" s="101" t="n">
        <v>0.9</v>
      </c>
      <c r="F101" s="102" t="n">
        <f aca="false">IF(AND(D101="",E101=""),"",AVERAGE(D101:E101))</f>
        <v>1.2</v>
      </c>
    </row>
    <row r="102" customFormat="false" ht="12.75" hidden="false" customHeight="false" outlineLevel="0" collapsed="false">
      <c r="A102" s="105"/>
      <c r="B102" s="105"/>
      <c r="C102" s="100" t="s">
        <v>264</v>
      </c>
      <c r="D102" s="101" t="n">
        <v>1.8</v>
      </c>
      <c r="E102" s="101" t="n">
        <v>1.9</v>
      </c>
      <c r="F102" s="102" t="n">
        <f aca="false">IF(AND(D102="",E102=""),"",AVERAGE(D102:E102))</f>
        <v>1.85</v>
      </c>
    </row>
    <row r="103" customFormat="false" ht="12.75" hidden="false" customHeight="false" outlineLevel="0" collapsed="false">
      <c r="A103" s="105"/>
      <c r="B103" s="105"/>
      <c r="C103" s="100" t="s">
        <v>265</v>
      </c>
      <c r="D103" s="101" t="n">
        <v>0.3</v>
      </c>
      <c r="E103" s="101" t="n">
        <v>0.7</v>
      </c>
      <c r="F103" s="102" t="n">
        <f aca="false">IF(AND(D103="",E103=""),"",AVERAGE(D103:E103))</f>
        <v>0.5</v>
      </c>
    </row>
    <row r="104" customFormat="false" ht="12.75" hidden="false" customHeight="false" outlineLevel="0" collapsed="false">
      <c r="A104" s="105"/>
      <c r="B104" s="105"/>
      <c r="C104" s="100" t="s">
        <v>266</v>
      </c>
      <c r="D104" s="101" t="n">
        <v>0.65</v>
      </c>
      <c r="E104" s="101" t="n">
        <v>1.9</v>
      </c>
      <c r="F104" s="102" t="n">
        <f aca="false">IF(AND(D104="",E104=""),"",AVERAGE(D104:E104))</f>
        <v>1.275</v>
      </c>
    </row>
    <row r="105" customFormat="false" ht="12.75" hidden="false" customHeight="false" outlineLevel="0" collapsed="false">
      <c r="A105" s="105"/>
      <c r="B105" s="105"/>
      <c r="C105" s="100" t="s">
        <v>267</v>
      </c>
      <c r="D105" s="101" t="n">
        <v>1.1</v>
      </c>
      <c r="E105" s="101" t="n">
        <v>1.5</v>
      </c>
      <c r="F105" s="102" t="n">
        <f aca="false">IF(AND(D105="",E105=""),"",AVERAGE(D105:E105))</f>
        <v>1.3</v>
      </c>
    </row>
    <row r="106" customFormat="false" ht="12.75" hidden="false" customHeight="false" outlineLevel="0" collapsed="false">
      <c r="A106" s="105"/>
      <c r="B106" s="105"/>
      <c r="C106" s="100" t="s">
        <v>268</v>
      </c>
      <c r="D106" s="101" t="n">
        <v>2.5</v>
      </c>
      <c r="E106" s="101" t="n">
        <v>2.2</v>
      </c>
      <c r="F106" s="102" t="n">
        <f aca="false">IF(AND(D106="",E106=""),"",AVERAGE(D106:E106))</f>
        <v>2.35</v>
      </c>
    </row>
    <row r="107" customFormat="false" ht="12.75" hidden="false" customHeight="false" outlineLevel="0" collapsed="false">
      <c r="A107" s="105"/>
      <c r="B107" s="99"/>
      <c r="C107" s="100" t="s">
        <v>308</v>
      </c>
      <c r="D107" s="101" t="n">
        <v>3</v>
      </c>
      <c r="E107" s="101" t="n">
        <v>2.7</v>
      </c>
      <c r="F107" s="102" t="n">
        <f aca="false">IF(AND(D107="",E107=""),"",AVERAGE(D107:E107))</f>
        <v>2.85</v>
      </c>
      <c r="G107" s="104"/>
    </row>
    <row r="108" customFormat="false" ht="15" hidden="false" customHeight="true" outlineLevel="0" collapsed="false">
      <c r="A108" s="105"/>
      <c r="B108" s="99" t="s">
        <v>134</v>
      </c>
      <c r="C108" s="100" t="s">
        <v>309</v>
      </c>
      <c r="D108" s="101" t="n">
        <v>10.8</v>
      </c>
      <c r="E108" s="101" t="n">
        <v>9.9</v>
      </c>
      <c r="F108" s="102" t="n">
        <f aca="false">IF(AND(D108="",E108=""),"",AVERAGE(D108:E108))</f>
        <v>10.35</v>
      </c>
    </row>
    <row r="109" customFormat="false" ht="12.75" hidden="false" customHeight="false" outlineLevel="0" collapsed="false">
      <c r="A109" s="105"/>
      <c r="B109" s="105"/>
      <c r="C109" s="100" t="s">
        <v>274</v>
      </c>
      <c r="D109" s="101" t="n">
        <v>3.7</v>
      </c>
      <c r="E109" s="101" t="n">
        <v>2.1</v>
      </c>
      <c r="F109" s="102" t="n">
        <f aca="false">IF(AND(D109="",E109=""),"",AVERAGE(D109:E109))</f>
        <v>2.9</v>
      </c>
    </row>
    <row r="110" customFormat="false" ht="12.75" hidden="false" customHeight="false" outlineLevel="0" collapsed="false">
      <c r="A110" s="105"/>
      <c r="B110" s="105"/>
      <c r="C110" s="100" t="s">
        <v>275</v>
      </c>
      <c r="D110" s="101" t="n">
        <v>1</v>
      </c>
      <c r="E110" s="101" t="n">
        <v>1</v>
      </c>
      <c r="F110" s="102" t="n">
        <f aca="false">IF(AND(D110="",E110=""),"",AVERAGE(D110:E110))</f>
        <v>1</v>
      </c>
    </row>
    <row r="111" customFormat="false" ht="12.75" hidden="false" customHeight="false" outlineLevel="0" collapsed="false">
      <c r="A111" s="105"/>
      <c r="B111" s="105"/>
      <c r="C111" s="100" t="s">
        <v>276</v>
      </c>
      <c r="D111" s="101" t="n">
        <v>2.6</v>
      </c>
      <c r="E111" s="101" t="n">
        <v>1.9</v>
      </c>
      <c r="F111" s="102" t="n">
        <f aca="false">IF(AND(D111="",E111=""),"",AVERAGE(D111:E111))</f>
        <v>2.25</v>
      </c>
    </row>
    <row r="112" customFormat="false" ht="12.75" hidden="false" customHeight="false" outlineLevel="0" collapsed="false">
      <c r="A112" s="105"/>
      <c r="B112" s="105"/>
      <c r="C112" s="100" t="s">
        <v>277</v>
      </c>
      <c r="D112" s="101" t="n">
        <v>1.4</v>
      </c>
      <c r="E112" s="101" t="n">
        <v>4.3</v>
      </c>
      <c r="F112" s="102" t="n">
        <f aca="false">IF(AND(D112="",E112=""),"",AVERAGE(D112:E112))</f>
        <v>2.85</v>
      </c>
    </row>
    <row r="113" customFormat="false" ht="12.75" hidden="false" customHeight="false" outlineLevel="0" collapsed="false">
      <c r="A113" s="105"/>
      <c r="B113" s="105"/>
      <c r="C113" s="100" t="s">
        <v>278</v>
      </c>
      <c r="D113" s="101" t="n">
        <v>0.8</v>
      </c>
      <c r="E113" s="101" t="n">
        <v>3.7</v>
      </c>
      <c r="F113" s="102" t="n">
        <f aca="false">IF(AND(D113="",E113=""),"",AVERAGE(D113:E113))</f>
        <v>2.25</v>
      </c>
    </row>
    <row r="114" customFormat="false" ht="12.75" hidden="false" customHeight="false" outlineLevel="0" collapsed="false">
      <c r="A114" s="105"/>
      <c r="B114" s="105"/>
      <c r="C114" s="100" t="s">
        <v>279</v>
      </c>
      <c r="D114" s="101" t="n">
        <v>2.9</v>
      </c>
      <c r="E114" s="101" t="n">
        <v>2.9</v>
      </c>
      <c r="F114" s="102" t="n">
        <f aca="false">IF(AND(D114="",E114=""),"",AVERAGE(D114:E114))</f>
        <v>2.9</v>
      </c>
    </row>
    <row r="115" customFormat="false" ht="12.75" hidden="false" customHeight="false" outlineLevel="0" collapsed="false">
      <c r="A115" s="105"/>
      <c r="B115" s="105"/>
      <c r="C115" s="100" t="s">
        <v>280</v>
      </c>
      <c r="D115" s="101" t="n">
        <v>1.8</v>
      </c>
      <c r="E115" s="101" t="n">
        <v>2.7</v>
      </c>
      <c r="F115" s="102" t="n">
        <f aca="false">IF(AND(D115="",E115=""),"",AVERAGE(D115:E115))</f>
        <v>2.25</v>
      </c>
    </row>
    <row r="116" customFormat="false" ht="12.75" hidden="false" customHeight="false" outlineLevel="0" collapsed="false">
      <c r="A116" s="105"/>
      <c r="B116" s="105"/>
      <c r="C116" s="100" t="s">
        <v>281</v>
      </c>
      <c r="D116" s="101" t="n">
        <v>2.1</v>
      </c>
      <c r="E116" s="101" t="n">
        <v>3.4</v>
      </c>
      <c r="F116" s="102" t="n">
        <f aca="false">IF(AND(D116="",E116=""),"",AVERAGE(D116:E116))</f>
        <v>2.75</v>
      </c>
    </row>
    <row r="117" customFormat="false" ht="12.75" hidden="false" customHeight="false" outlineLevel="0" collapsed="false">
      <c r="A117" s="105"/>
      <c r="B117" s="105"/>
      <c r="C117" s="100" t="s">
        <v>282</v>
      </c>
      <c r="D117" s="101" t="n">
        <v>1</v>
      </c>
      <c r="E117" s="101" t="n">
        <v>1.8</v>
      </c>
      <c r="F117" s="102" t="n">
        <f aca="false">IF(AND(D117="",E117=""),"",AVERAGE(D117:E117))</f>
        <v>1.4</v>
      </c>
    </row>
    <row r="118" customFormat="false" ht="12.75" hidden="false" customHeight="false" outlineLevel="0" collapsed="false">
      <c r="A118" s="105"/>
      <c r="B118" s="105"/>
      <c r="C118" s="100" t="s">
        <v>283</v>
      </c>
      <c r="D118" s="101" t="n">
        <v>0.7</v>
      </c>
      <c r="E118" s="101" t="n">
        <v>3.1</v>
      </c>
      <c r="F118" s="102" t="n">
        <f aca="false">IF(AND(D118="",E118=""),"",AVERAGE(D118:E118))</f>
        <v>1.9</v>
      </c>
    </row>
    <row r="119" customFormat="false" ht="12.75" hidden="false" customHeight="false" outlineLevel="0" collapsed="false">
      <c r="A119" s="105"/>
      <c r="B119" s="105"/>
      <c r="C119" s="100" t="s">
        <v>284</v>
      </c>
      <c r="D119" s="101" t="n">
        <v>1.4</v>
      </c>
      <c r="E119" s="101" t="n">
        <v>2.5</v>
      </c>
      <c r="F119" s="102" t="n">
        <f aca="false">IF(AND(D119="",E119=""),"",AVERAGE(D119:E119))</f>
        <v>1.95</v>
      </c>
    </row>
    <row r="120" customFormat="false" ht="12.75" hidden="false" customHeight="false" outlineLevel="0" collapsed="false">
      <c r="A120" s="105"/>
      <c r="B120" s="99"/>
      <c r="C120" s="100" t="s">
        <v>310</v>
      </c>
      <c r="D120" s="101" t="n">
        <v>10.5</v>
      </c>
      <c r="E120" s="101" t="n">
        <v>11.8</v>
      </c>
      <c r="F120" s="102" t="n">
        <f aca="false">IF(AND(D120="",E120=""),"",AVERAGE(D120:E120))</f>
        <v>11.15</v>
      </c>
      <c r="G120" s="104"/>
    </row>
    <row r="121" customFormat="false" ht="15" hidden="false" customHeight="true" outlineLevel="0" collapsed="false">
      <c r="A121" s="105"/>
      <c r="B121" s="99" t="s">
        <v>135</v>
      </c>
      <c r="C121" s="100" t="s">
        <v>311</v>
      </c>
      <c r="D121" s="101" t="n">
        <v>4.1</v>
      </c>
      <c r="E121" s="101" t="n">
        <v>4.6</v>
      </c>
      <c r="F121" s="102" t="n">
        <f aca="false">IF(AND(D121="",E121=""),"",AVERAGE(D121:E121))</f>
        <v>4.35</v>
      </c>
    </row>
    <row r="122" customFormat="false" ht="12.75" hidden="false" customHeight="false" outlineLevel="0" collapsed="false">
      <c r="A122" s="105"/>
      <c r="B122" s="105"/>
      <c r="C122" s="100" t="s">
        <v>295</v>
      </c>
      <c r="D122" s="101" t="n">
        <v>1.3</v>
      </c>
      <c r="E122" s="101" t="n">
        <v>1.4</v>
      </c>
      <c r="F122" s="102" t="n">
        <f aca="false">IF(AND(D122="",E122=""),"",AVERAGE(D122:E122))</f>
        <v>1.35</v>
      </c>
    </row>
    <row r="123" customFormat="false" ht="12.75" hidden="false" customHeight="false" outlineLevel="0" collapsed="false">
      <c r="A123" s="105"/>
      <c r="B123" s="105"/>
      <c r="C123" s="100" t="s">
        <v>296</v>
      </c>
      <c r="D123" s="101" t="n">
        <v>1.7</v>
      </c>
      <c r="E123" s="101" t="n">
        <v>1.8</v>
      </c>
      <c r="F123" s="102" t="n">
        <f aca="false">IF(AND(D123="",E123=""),"",AVERAGE(D123:E123))</f>
        <v>1.75</v>
      </c>
    </row>
    <row r="124" customFormat="false" ht="12.75" hidden="false" customHeight="false" outlineLevel="0" collapsed="false">
      <c r="A124" s="105"/>
      <c r="B124" s="105"/>
      <c r="C124" s="100" t="s">
        <v>297</v>
      </c>
      <c r="D124" s="101" t="n">
        <v>0.7</v>
      </c>
      <c r="E124" s="101" t="n">
        <v>1</v>
      </c>
      <c r="F124" s="102" t="n">
        <f aca="false">IF(AND(D124="",E124=""),"",AVERAGE(D124:E124))</f>
        <v>0.85</v>
      </c>
    </row>
    <row r="125" customFormat="false" ht="12.75" hidden="false" customHeight="false" outlineLevel="0" collapsed="false">
      <c r="A125" s="105"/>
      <c r="B125" s="105"/>
      <c r="C125" s="100" t="s">
        <v>312</v>
      </c>
      <c r="D125" s="101" t="n">
        <v>2</v>
      </c>
      <c r="E125" s="101" t="n">
        <v>1.6</v>
      </c>
      <c r="F125" s="102" t="n">
        <f aca="false">IF(AND(D125="",E125=""),"",AVERAGE(D125:E125))</f>
        <v>1.8</v>
      </c>
    </row>
    <row r="126" customFormat="false" ht="12.75" hidden="false" customHeight="false" outlineLevel="0" collapsed="false">
      <c r="A126" s="105"/>
      <c r="B126" s="105"/>
      <c r="C126" s="100" t="s">
        <v>287</v>
      </c>
      <c r="D126" s="101" t="n">
        <v>0.5</v>
      </c>
      <c r="E126" s="101" t="n">
        <v>0.6</v>
      </c>
      <c r="F126" s="102" t="n">
        <f aca="false">IF(AND(D126="",E126=""),"",AVERAGE(D126:E126))</f>
        <v>0.55</v>
      </c>
    </row>
    <row r="127" customFormat="false" ht="12.75" hidden="false" customHeight="false" outlineLevel="0" collapsed="false">
      <c r="A127" s="105"/>
      <c r="B127" s="105"/>
      <c r="C127" s="100" t="s">
        <v>288</v>
      </c>
      <c r="D127" s="101" t="n">
        <v>1.2</v>
      </c>
      <c r="E127" s="101" t="n">
        <v>1.4</v>
      </c>
      <c r="F127" s="102" t="n">
        <f aca="false">IF(AND(D127="",E127=""),"",AVERAGE(D127:E127))</f>
        <v>1.3</v>
      </c>
    </row>
    <row r="128" customFormat="false" ht="24" hidden="false" customHeight="true" outlineLevel="0" collapsed="false">
      <c r="A128" s="105"/>
      <c r="B128" s="105"/>
      <c r="C128" s="100" t="s">
        <v>289</v>
      </c>
      <c r="D128" s="101" t="n">
        <v>0.8</v>
      </c>
      <c r="E128" s="101" t="n">
        <v>1.1</v>
      </c>
      <c r="F128" s="102" t="n">
        <f aca="false">IF(AND(D128="",E128=""),"",AVERAGE(D128:E128))</f>
        <v>0.95</v>
      </c>
    </row>
    <row r="129" customFormat="false" ht="24" hidden="false" customHeight="true" outlineLevel="0" collapsed="false">
      <c r="A129" s="105"/>
      <c r="B129" s="105"/>
      <c r="C129" s="100" t="s">
        <v>290</v>
      </c>
      <c r="D129" s="101" t="n">
        <v>0.3</v>
      </c>
      <c r="E129" s="101" t="n">
        <v>0.7</v>
      </c>
      <c r="F129" s="102" t="n">
        <f aca="false">IF(AND(D129="",E129=""),"",AVERAGE(D129:E129))</f>
        <v>0.5</v>
      </c>
    </row>
    <row r="130" customFormat="false" ht="24" hidden="false" customHeight="true" outlineLevel="0" collapsed="false">
      <c r="A130" s="105"/>
      <c r="B130" s="105"/>
      <c r="C130" s="100" t="s">
        <v>291</v>
      </c>
      <c r="D130" s="101" t="n">
        <v>0.5</v>
      </c>
      <c r="E130" s="101" t="n">
        <v>1.6</v>
      </c>
      <c r="F130" s="102" t="n">
        <f aca="false">IF(AND(D130="",E130=""),"",AVERAGE(D130:E130))</f>
        <v>1.05</v>
      </c>
    </row>
    <row r="131" customFormat="false" ht="12.75" hidden="false" customHeight="false" outlineLevel="0" collapsed="false">
      <c r="A131" s="105"/>
      <c r="B131" s="105"/>
      <c r="C131" s="100" t="s">
        <v>292</v>
      </c>
      <c r="D131" s="101" t="n">
        <v>0.6</v>
      </c>
      <c r="E131" s="101" t="n">
        <v>1.4</v>
      </c>
      <c r="F131" s="102" t="n">
        <f aca="false">IF(AND(D131="",E131=""),"",AVERAGE(D131:E131))</f>
        <v>1</v>
      </c>
    </row>
    <row r="132" customFormat="false" ht="12.75" hidden="false" customHeight="false" outlineLevel="0" collapsed="false">
      <c r="A132" s="105"/>
      <c r="B132" s="105"/>
      <c r="C132" s="100" t="s">
        <v>293</v>
      </c>
      <c r="D132" s="101" t="n">
        <v>0.4</v>
      </c>
      <c r="E132" s="101" t="n">
        <v>0.6</v>
      </c>
      <c r="F132" s="102" t="n">
        <f aca="false">IF(AND(D132="",E132=""),"",AVERAGE(D132:E132))</f>
        <v>0.5</v>
      </c>
    </row>
    <row r="133" customFormat="false" ht="12.75" hidden="false" customHeight="false" outlineLevel="0" collapsed="false">
      <c r="A133" s="105"/>
      <c r="B133" s="105"/>
      <c r="C133" s="100" t="s">
        <v>313</v>
      </c>
      <c r="D133" s="101" t="n">
        <v>5.6</v>
      </c>
      <c r="E133" s="101" t="n">
        <v>5.2</v>
      </c>
      <c r="F133" s="102" t="n">
        <f aca="false">IF(AND(D133="",E133=""),"",AVERAGE(D133:E133))</f>
        <v>5.4</v>
      </c>
      <c r="G133" s="104"/>
    </row>
    <row r="134" customFormat="false" ht="15" hidden="false" customHeight="true" outlineLevel="0" collapsed="false">
      <c r="A134" s="106" t="s">
        <v>314</v>
      </c>
      <c r="B134" s="99" t="s">
        <v>130</v>
      </c>
      <c r="C134" s="100" t="s">
        <v>315</v>
      </c>
      <c r="D134" s="101" t="n">
        <v>4.8</v>
      </c>
      <c r="E134" s="101" t="n">
        <v>5.1</v>
      </c>
      <c r="F134" s="102" t="n">
        <f aca="false">IF(AND(D134="",E134=""),"",AVERAGE(D134:E134))</f>
        <v>4.95</v>
      </c>
    </row>
    <row r="135" customFormat="false" ht="12.75" hidden="false" customHeight="false" outlineLevel="0" collapsed="false">
      <c r="A135" s="106"/>
      <c r="B135" s="106"/>
      <c r="C135" s="100" t="s">
        <v>233</v>
      </c>
      <c r="D135" s="101" t="n">
        <v>2.2</v>
      </c>
      <c r="E135" s="101" t="n">
        <v>4.1</v>
      </c>
      <c r="F135" s="102" t="n">
        <f aca="false">IF(AND(D135="",E135=""),"",AVERAGE(D135:E135))</f>
        <v>3.15</v>
      </c>
    </row>
    <row r="136" customFormat="false" ht="12.75" hidden="false" customHeight="false" outlineLevel="0" collapsed="false">
      <c r="A136" s="106"/>
      <c r="B136" s="106"/>
      <c r="C136" s="100" t="s">
        <v>235</v>
      </c>
      <c r="D136" s="101" t="n">
        <v>0.9</v>
      </c>
      <c r="E136" s="101" t="n">
        <v>4.2</v>
      </c>
      <c r="F136" s="102" t="n">
        <f aca="false">IF(AND(D136="",E136=""),"",AVERAGE(D136:E136))</f>
        <v>2.55</v>
      </c>
    </row>
    <row r="137" customFormat="false" ht="12.75" hidden="false" customHeight="false" outlineLevel="0" collapsed="false">
      <c r="A137" s="106"/>
      <c r="B137" s="106"/>
      <c r="C137" s="100" t="s">
        <v>237</v>
      </c>
      <c r="D137" s="101" t="n">
        <v>2.5</v>
      </c>
      <c r="E137" s="101" t="n">
        <v>2.9</v>
      </c>
      <c r="F137" s="102" t="n">
        <f aca="false">IF(AND(D137="",E137=""),"",AVERAGE(D137:E137))</f>
        <v>2.7</v>
      </c>
    </row>
    <row r="138" customFormat="false" ht="12.75" hidden="false" customHeight="false" outlineLevel="0" collapsed="false">
      <c r="A138" s="106"/>
      <c r="B138" s="106"/>
      <c r="C138" s="100" t="s">
        <v>238</v>
      </c>
      <c r="D138" s="101" t="n">
        <v>0.3</v>
      </c>
      <c r="E138" s="101" t="n">
        <v>0.6</v>
      </c>
      <c r="F138" s="102" t="n">
        <f aca="false">IF(AND(D138="",E138=""),"",AVERAGE(D138:E138))</f>
        <v>0.45</v>
      </c>
    </row>
    <row r="139" customFormat="false" ht="12.75" hidden="false" customHeight="false" outlineLevel="0" collapsed="false">
      <c r="A139" s="106"/>
      <c r="B139" s="106"/>
      <c r="C139" s="100" t="s">
        <v>239</v>
      </c>
      <c r="D139" s="101" t="n">
        <v>1.8</v>
      </c>
      <c r="E139" s="101" t="n">
        <v>2.2</v>
      </c>
      <c r="F139" s="102" t="n">
        <f aca="false">IF(AND(D139="",E139=""),"",AVERAGE(D139:E139))</f>
        <v>2</v>
      </c>
    </row>
    <row r="140" customFormat="false" ht="12.75" hidden="false" customHeight="false" outlineLevel="0" collapsed="false">
      <c r="A140" s="106"/>
      <c r="B140" s="106"/>
      <c r="C140" s="100" t="s">
        <v>240</v>
      </c>
      <c r="D140" s="101" t="n">
        <v>1.5</v>
      </c>
      <c r="E140" s="101" t="n">
        <v>3.1</v>
      </c>
      <c r="F140" s="102" t="n">
        <f aca="false">IF(AND(D140="",E140=""),"",AVERAGE(D140:E140))</f>
        <v>2.3</v>
      </c>
    </row>
    <row r="141" customFormat="false" ht="12.75" hidden="false" customHeight="false" outlineLevel="0" collapsed="false">
      <c r="A141" s="106"/>
      <c r="B141" s="106"/>
      <c r="C141" s="100" t="s">
        <v>241</v>
      </c>
      <c r="D141" s="101" t="n">
        <v>3.4</v>
      </c>
      <c r="E141" s="101" t="n">
        <v>2.2</v>
      </c>
      <c r="F141" s="102" t="n">
        <f aca="false">IF(AND(D141="",E141=""),"",AVERAGE(D141:E141))</f>
        <v>2.8</v>
      </c>
    </row>
    <row r="142" customFormat="false" ht="12.75" hidden="false" customHeight="false" outlineLevel="0" collapsed="false">
      <c r="A142" s="106"/>
      <c r="B142" s="106"/>
      <c r="C142" s="100" t="s">
        <v>242</v>
      </c>
      <c r="D142" s="101" t="n">
        <v>0.95</v>
      </c>
      <c r="E142" s="101" t="n">
        <v>2.7</v>
      </c>
      <c r="F142" s="102" t="n">
        <f aca="false">IF(AND(D142="",E142=""),"",AVERAGE(D142:E142))</f>
        <v>1.825</v>
      </c>
    </row>
    <row r="143" customFormat="false" ht="12.75" hidden="false" customHeight="false" outlineLevel="0" collapsed="false">
      <c r="A143" s="106"/>
      <c r="B143" s="106"/>
      <c r="C143" s="100" t="s">
        <v>243</v>
      </c>
      <c r="D143" s="101" t="n">
        <v>0.9</v>
      </c>
      <c r="E143" s="101" t="n">
        <v>2.8</v>
      </c>
      <c r="F143" s="102" t="n">
        <f aca="false">IF(AND(D143="",E143=""),"",AVERAGE(D143:E143))</f>
        <v>1.85</v>
      </c>
    </row>
    <row r="144" customFormat="false" ht="12.75" hidden="false" customHeight="false" outlineLevel="0" collapsed="false">
      <c r="A144" s="106"/>
      <c r="B144" s="106"/>
      <c r="C144" s="100" t="s">
        <v>244</v>
      </c>
      <c r="D144" s="101" t="n">
        <v>2.3</v>
      </c>
      <c r="E144" s="101" t="n">
        <v>1.6</v>
      </c>
      <c r="F144" s="102" t="n">
        <f aca="false">IF(AND(D144="",E144=""),"",AVERAGE(D144:E144))</f>
        <v>1.95</v>
      </c>
    </row>
    <row r="145" customFormat="false" ht="12.75" hidden="false" customHeight="false" outlineLevel="0" collapsed="false">
      <c r="A145" s="106"/>
      <c r="B145" s="106"/>
      <c r="C145" s="100" t="s">
        <v>245</v>
      </c>
      <c r="D145" s="101" t="n">
        <v>1.3</v>
      </c>
      <c r="E145" s="101" t="n">
        <v>2.1</v>
      </c>
      <c r="F145" s="102" t="n">
        <f aca="false">IF(AND(D145="",E145=""),"",AVERAGE(D145:E145))</f>
        <v>1.7</v>
      </c>
    </row>
    <row r="146" customFormat="false" ht="12.75" hidden="false" customHeight="false" outlineLevel="0" collapsed="false">
      <c r="A146" s="106"/>
      <c r="B146" s="99"/>
      <c r="C146" s="100" t="s">
        <v>316</v>
      </c>
      <c r="D146" s="101" t="n">
        <v>5.9</v>
      </c>
      <c r="E146" s="101" t="n">
        <v>6</v>
      </c>
      <c r="F146" s="102" t="n">
        <f aca="false">IF(AND(D146="",E146=""),"",AVERAGE(D146:E146))</f>
        <v>5.95</v>
      </c>
      <c r="G146" s="104"/>
    </row>
    <row r="147" customFormat="false" ht="15" hidden="false" customHeight="true" outlineLevel="0" collapsed="false">
      <c r="A147" s="106"/>
      <c r="B147" s="99" t="s">
        <v>131</v>
      </c>
      <c r="C147" s="100" t="s">
        <v>317</v>
      </c>
      <c r="D147" s="101" t="n">
        <v>0.6</v>
      </c>
      <c r="E147" s="101" t="n">
        <v>0.8</v>
      </c>
      <c r="F147" s="102" t="n">
        <f aca="false">IF(AND(D147="",E147=""),"",AVERAGE(D147:E147))</f>
        <v>0.7</v>
      </c>
    </row>
    <row r="148" customFormat="false" ht="12.75" hidden="false" customHeight="false" outlineLevel="0" collapsed="false">
      <c r="A148" s="106"/>
      <c r="B148" s="106"/>
      <c r="C148" s="100" t="s">
        <v>258</v>
      </c>
      <c r="D148" s="101" t="n">
        <v>1.2</v>
      </c>
      <c r="E148" s="101" t="n">
        <v>1.5</v>
      </c>
      <c r="F148" s="102" t="n">
        <f aca="false">IF(AND(D148="",E148=""),"",AVERAGE(D148:E148))</f>
        <v>1.35</v>
      </c>
    </row>
    <row r="149" customFormat="false" ht="12.75" hidden="false" customHeight="false" outlineLevel="0" collapsed="false">
      <c r="A149" s="106"/>
      <c r="B149" s="106"/>
      <c r="C149" s="100" t="s">
        <v>304</v>
      </c>
      <c r="D149" s="101" t="n">
        <v>0.6</v>
      </c>
      <c r="E149" s="101" t="n">
        <v>1</v>
      </c>
      <c r="F149" s="102" t="n">
        <f aca="false">IF(AND(D149="",E149=""),"",AVERAGE(D149:E149))</f>
        <v>0.8</v>
      </c>
    </row>
    <row r="150" customFormat="false" ht="12.75" hidden="false" customHeight="false" outlineLevel="0" collapsed="false">
      <c r="A150" s="106"/>
      <c r="B150" s="106"/>
      <c r="C150" s="100" t="s">
        <v>248</v>
      </c>
      <c r="D150" s="101" t="n">
        <v>1.3</v>
      </c>
      <c r="E150" s="101" t="n">
        <v>1.4</v>
      </c>
      <c r="F150" s="102" t="n">
        <f aca="false">IF(AND(D150="",E150=""),"",AVERAGE(D150:E150))</f>
        <v>1.35</v>
      </c>
    </row>
    <row r="151" customFormat="false" ht="12.75" hidden="false" customHeight="false" outlineLevel="0" collapsed="false">
      <c r="A151" s="106"/>
      <c r="B151" s="106"/>
      <c r="C151" s="100" t="s">
        <v>249</v>
      </c>
      <c r="D151" s="101" t="n">
        <v>1.2</v>
      </c>
      <c r="E151" s="101" t="n">
        <v>1.2</v>
      </c>
      <c r="F151" s="102" t="n">
        <f aca="false">IF(AND(D151="",E151=""),"",AVERAGE(D151:E151))</f>
        <v>1.2</v>
      </c>
    </row>
    <row r="152" customFormat="false" ht="24" hidden="false" customHeight="true" outlineLevel="0" collapsed="false">
      <c r="A152" s="106"/>
      <c r="B152" s="106"/>
      <c r="C152" s="100" t="s">
        <v>250</v>
      </c>
      <c r="D152" s="101" t="n">
        <v>2.3</v>
      </c>
      <c r="E152" s="101" t="n">
        <v>2.1</v>
      </c>
      <c r="F152" s="102" t="n">
        <f aca="false">IF(AND(D152="",E152=""),"",AVERAGE(D152:E152))</f>
        <v>2.2</v>
      </c>
    </row>
    <row r="153" customFormat="false" ht="24" hidden="false" customHeight="true" outlineLevel="0" collapsed="false">
      <c r="A153" s="106"/>
      <c r="B153" s="106"/>
      <c r="C153" s="100" t="s">
        <v>251</v>
      </c>
      <c r="D153" s="101" t="n">
        <v>0.55</v>
      </c>
      <c r="E153" s="101" t="n">
        <v>1.4</v>
      </c>
      <c r="F153" s="102" t="n">
        <f aca="false">IF(AND(D153="",E153=""),"",AVERAGE(D153:E153))</f>
        <v>0.975</v>
      </c>
    </row>
    <row r="154" customFormat="false" ht="12.75" hidden="false" customHeight="false" outlineLevel="0" collapsed="false">
      <c r="A154" s="106"/>
      <c r="B154" s="106"/>
      <c r="C154" s="100" t="s">
        <v>252</v>
      </c>
      <c r="D154" s="101" t="n">
        <v>3.9</v>
      </c>
      <c r="E154" s="101" t="n">
        <v>3.2</v>
      </c>
      <c r="F154" s="102" t="n">
        <f aca="false">IF(AND(D154="",E154=""),"",AVERAGE(D154:E154))</f>
        <v>3.55</v>
      </c>
    </row>
    <row r="155" customFormat="false" ht="12.75" hidden="false" customHeight="false" outlineLevel="0" collapsed="false">
      <c r="A155" s="106"/>
      <c r="B155" s="106"/>
      <c r="C155" s="100" t="s">
        <v>253</v>
      </c>
      <c r="D155" s="101" t="n">
        <v>2.1</v>
      </c>
      <c r="E155" s="101" t="n">
        <v>1.6</v>
      </c>
      <c r="F155" s="102" t="n">
        <f aca="false">IF(AND(D155="",E155=""),"",AVERAGE(D155:E155))</f>
        <v>1.85</v>
      </c>
    </row>
    <row r="156" customFormat="false" ht="12.75" hidden="false" customHeight="false" outlineLevel="0" collapsed="false">
      <c r="A156" s="106"/>
      <c r="B156" s="106"/>
      <c r="C156" s="100" t="s">
        <v>254</v>
      </c>
      <c r="D156" s="101" t="n">
        <v>1.5</v>
      </c>
      <c r="E156" s="101" t="n">
        <v>1</v>
      </c>
      <c r="F156" s="102" t="n">
        <f aca="false">IF(AND(D156="",E156=""),"",AVERAGE(D156:E156))</f>
        <v>1.25</v>
      </c>
    </row>
    <row r="157" customFormat="false" ht="12.75" hidden="false" customHeight="false" outlineLevel="0" collapsed="false">
      <c r="A157" s="106"/>
      <c r="B157" s="106"/>
      <c r="C157" s="100" t="s">
        <v>255</v>
      </c>
      <c r="D157" s="101" t="n">
        <v>1</v>
      </c>
      <c r="E157" s="101" t="n">
        <v>0.22</v>
      </c>
      <c r="F157" s="102" t="n">
        <f aca="false">IF(AND(D157="",E157=""),"",AVERAGE(D157:E157))</f>
        <v>0.61</v>
      </c>
    </row>
    <row r="158" customFormat="false" ht="12.75" hidden="false" customHeight="false" outlineLevel="0" collapsed="false">
      <c r="A158" s="106"/>
      <c r="B158" s="106"/>
      <c r="C158" s="100" t="s">
        <v>256</v>
      </c>
      <c r="D158" s="101" t="n">
        <v>2.3</v>
      </c>
      <c r="E158" s="101" t="n">
        <v>1.6</v>
      </c>
      <c r="F158" s="102" t="n">
        <f aca="false">IF(AND(D158="",E158=""),"",AVERAGE(D158:E158))</f>
        <v>1.95</v>
      </c>
    </row>
    <row r="159" customFormat="false" ht="12.75" hidden="false" customHeight="false" outlineLevel="0" collapsed="false">
      <c r="A159" s="106"/>
      <c r="B159" s="99"/>
      <c r="C159" s="100" t="s">
        <v>318</v>
      </c>
      <c r="D159" s="101" t="n">
        <v>1.3</v>
      </c>
      <c r="E159" s="101" t="n">
        <v>1.1</v>
      </c>
      <c r="F159" s="102" t="n">
        <f aca="false">IF(AND(D159="",E159=""),"",AVERAGE(D159:E159))</f>
        <v>1.2</v>
      </c>
      <c r="G159" s="104"/>
    </row>
    <row r="160" customFormat="false" ht="15" hidden="false" customHeight="true" outlineLevel="0" collapsed="false">
      <c r="A160" s="106"/>
      <c r="B160" s="99" t="s">
        <v>132</v>
      </c>
      <c r="C160" s="100" t="s">
        <v>319</v>
      </c>
      <c r="D160" s="101" t="n">
        <v>3.1</v>
      </c>
      <c r="E160" s="101" t="n">
        <v>2.8</v>
      </c>
      <c r="F160" s="102" t="n">
        <f aca="false">IF(AND(D160="",E160=""),"",AVERAGE(D160:E160))</f>
        <v>2.95</v>
      </c>
    </row>
    <row r="161" customFormat="false" ht="12.75" hidden="false" customHeight="false" outlineLevel="0" collapsed="false">
      <c r="A161" s="106"/>
      <c r="B161" s="106"/>
      <c r="C161" s="100" t="s">
        <v>261</v>
      </c>
      <c r="D161" s="101" t="n">
        <v>2.7</v>
      </c>
      <c r="E161" s="101" t="n">
        <v>4.9</v>
      </c>
      <c r="F161" s="102" t="n">
        <f aca="false">IF(AND(D161="",E161=""),"",AVERAGE(D161:E161))</f>
        <v>3.8</v>
      </c>
    </row>
    <row r="162" customFormat="false" ht="12.75" hidden="false" customHeight="false" outlineLevel="0" collapsed="false">
      <c r="A162" s="106"/>
      <c r="B162" s="106"/>
      <c r="C162" s="100" t="s">
        <v>262</v>
      </c>
      <c r="D162" s="101" t="n">
        <v>3.4</v>
      </c>
      <c r="E162" s="101" t="n">
        <v>2.3</v>
      </c>
      <c r="F162" s="102" t="n">
        <f aca="false">IF(AND(D162="",E162=""),"",AVERAGE(D162:E162))</f>
        <v>2.85</v>
      </c>
    </row>
    <row r="163" customFormat="false" ht="12.75" hidden="false" customHeight="false" outlineLevel="0" collapsed="false">
      <c r="A163" s="106"/>
      <c r="B163" s="106"/>
      <c r="C163" s="100" t="s">
        <v>263</v>
      </c>
      <c r="D163" s="101" t="n">
        <v>1.5</v>
      </c>
      <c r="E163" s="101" t="n">
        <v>0.9</v>
      </c>
      <c r="F163" s="102" t="n">
        <f aca="false">IF(AND(D163="",E163=""),"",AVERAGE(D163:E163))</f>
        <v>1.2</v>
      </c>
    </row>
    <row r="164" customFormat="false" ht="12.75" hidden="false" customHeight="false" outlineLevel="0" collapsed="false">
      <c r="A164" s="106"/>
      <c r="B164" s="106"/>
      <c r="C164" s="100" t="s">
        <v>264</v>
      </c>
      <c r="D164" s="101" t="n">
        <v>1.8</v>
      </c>
      <c r="E164" s="101" t="n">
        <v>1.9</v>
      </c>
      <c r="F164" s="102" t="n">
        <f aca="false">IF(AND(D164="",E164=""),"",AVERAGE(D164:E164))</f>
        <v>1.85</v>
      </c>
    </row>
    <row r="165" customFormat="false" ht="12.75" hidden="false" customHeight="false" outlineLevel="0" collapsed="false">
      <c r="A165" s="106"/>
      <c r="B165" s="106"/>
      <c r="C165" s="100" t="s">
        <v>265</v>
      </c>
      <c r="D165" s="101" t="n">
        <v>0.3</v>
      </c>
      <c r="E165" s="101" t="n">
        <v>0.7</v>
      </c>
      <c r="F165" s="102" t="n">
        <f aca="false">IF(AND(D165="",E165=""),"",AVERAGE(D165:E165))</f>
        <v>0.5</v>
      </c>
    </row>
    <row r="166" customFormat="false" ht="12.75" hidden="false" customHeight="false" outlineLevel="0" collapsed="false">
      <c r="A166" s="106"/>
      <c r="B166" s="106"/>
      <c r="C166" s="100" t="s">
        <v>266</v>
      </c>
      <c r="D166" s="101" t="n">
        <v>0.65</v>
      </c>
      <c r="E166" s="101" t="n">
        <v>1.9</v>
      </c>
      <c r="F166" s="102" t="n">
        <f aca="false">IF(AND(D166="",E166=""),"",AVERAGE(D166:E166))</f>
        <v>1.275</v>
      </c>
    </row>
    <row r="167" customFormat="false" ht="12.75" hidden="false" customHeight="false" outlineLevel="0" collapsed="false">
      <c r="A167" s="106"/>
      <c r="B167" s="106"/>
      <c r="C167" s="100" t="s">
        <v>267</v>
      </c>
      <c r="D167" s="101" t="n">
        <v>1.1</v>
      </c>
      <c r="E167" s="101" t="n">
        <v>1.5</v>
      </c>
      <c r="F167" s="102" t="n">
        <f aca="false">IF(AND(D167="",E167=""),"",AVERAGE(D167:E167))</f>
        <v>1.3</v>
      </c>
    </row>
    <row r="168" customFormat="false" ht="12.75" hidden="false" customHeight="false" outlineLevel="0" collapsed="false">
      <c r="A168" s="106"/>
      <c r="B168" s="106"/>
      <c r="C168" s="100" t="s">
        <v>268</v>
      </c>
      <c r="D168" s="101" t="n">
        <v>2.5</v>
      </c>
      <c r="E168" s="101" t="n">
        <v>2.2</v>
      </c>
      <c r="F168" s="102" t="n">
        <f aca="false">IF(AND(D168="",E168=""),"",AVERAGE(D168:E168))</f>
        <v>2.35</v>
      </c>
    </row>
    <row r="169" customFormat="false" ht="24" hidden="false" customHeight="true" outlineLevel="0" collapsed="false">
      <c r="A169" s="106"/>
      <c r="B169" s="106"/>
      <c r="C169" s="100" t="s">
        <v>269</v>
      </c>
      <c r="D169" s="101" t="n">
        <v>1</v>
      </c>
      <c r="E169" s="101" t="n">
        <v>0.8</v>
      </c>
      <c r="F169" s="102" t="n">
        <f aca="false">IF(AND(D169="",E169=""),"",AVERAGE(D169:E169))</f>
        <v>0.9</v>
      </c>
    </row>
    <row r="170" customFormat="false" ht="24" hidden="false" customHeight="true" outlineLevel="0" collapsed="false">
      <c r="A170" s="106"/>
      <c r="B170" s="106"/>
      <c r="C170" s="100" t="s">
        <v>270</v>
      </c>
      <c r="D170" s="101" t="n">
        <v>1.5</v>
      </c>
      <c r="E170" s="101" t="n">
        <v>1.5</v>
      </c>
      <c r="F170" s="102" t="n">
        <f aca="false">IF(AND(D170="",E170=""),"",AVERAGE(D170:E170))</f>
        <v>1.5</v>
      </c>
    </row>
    <row r="171" customFormat="false" ht="12.75" hidden="false" customHeight="false" outlineLevel="0" collapsed="false">
      <c r="A171" s="106"/>
      <c r="B171" s="106"/>
      <c r="C171" s="100" t="s">
        <v>271</v>
      </c>
      <c r="D171" s="101" t="n">
        <v>1.3</v>
      </c>
      <c r="E171" s="101" t="n">
        <v>1.9</v>
      </c>
      <c r="F171" s="102" t="n">
        <f aca="false">IF(AND(D171="",E171=""),"",AVERAGE(D171:E171))</f>
        <v>1.6</v>
      </c>
    </row>
    <row r="172" customFormat="false" ht="12.75" hidden="false" customHeight="false" outlineLevel="0" collapsed="false">
      <c r="A172" s="106"/>
      <c r="B172" s="99"/>
      <c r="C172" s="100" t="s">
        <v>320</v>
      </c>
      <c r="D172" s="101" t="n">
        <v>2.7</v>
      </c>
      <c r="E172" s="101" t="n">
        <v>3.4</v>
      </c>
      <c r="F172" s="102" t="n">
        <f aca="false">IF(AND(D172="",E172=""),"",AVERAGE(D172:E172))</f>
        <v>3.05</v>
      </c>
      <c r="G172" s="104" t="n">
        <v>1.1</v>
      </c>
    </row>
    <row r="173" customFormat="false" ht="15" hidden="false" customHeight="true" outlineLevel="0" collapsed="false">
      <c r="A173" s="106"/>
      <c r="B173" s="99" t="s">
        <v>134</v>
      </c>
      <c r="C173" s="100" t="s">
        <v>321</v>
      </c>
      <c r="D173" s="101" t="n">
        <v>4.3</v>
      </c>
      <c r="E173" s="101" t="n">
        <v>3.5</v>
      </c>
      <c r="F173" s="102" t="n">
        <f aca="false">IF(AND(D173="",E173=""),"",AVERAGE(D173:E173))</f>
        <v>3.9</v>
      </c>
    </row>
    <row r="174" customFormat="false" ht="12.75" hidden="false" customHeight="false" outlineLevel="0" collapsed="false">
      <c r="A174" s="106"/>
      <c r="B174" s="106"/>
      <c r="C174" s="100" t="s">
        <v>274</v>
      </c>
      <c r="D174" s="101" t="n">
        <v>3.7</v>
      </c>
      <c r="E174" s="101" t="n">
        <v>2.1</v>
      </c>
      <c r="F174" s="102" t="n">
        <f aca="false">IF(AND(D174="",E174=""),"",AVERAGE(D174:E174))</f>
        <v>2.9</v>
      </c>
    </row>
    <row r="175" customFormat="false" ht="12.75" hidden="false" customHeight="false" outlineLevel="0" collapsed="false">
      <c r="A175" s="106"/>
      <c r="B175" s="106"/>
      <c r="C175" s="100" t="s">
        <v>275</v>
      </c>
      <c r="D175" s="101" t="n">
        <v>1</v>
      </c>
      <c r="E175" s="101" t="n">
        <v>1</v>
      </c>
      <c r="F175" s="102" t="n">
        <f aca="false">IF(AND(D175="",E175=""),"",AVERAGE(D175:E175))</f>
        <v>1</v>
      </c>
    </row>
    <row r="176" customFormat="false" ht="12.75" hidden="false" customHeight="false" outlineLevel="0" collapsed="false">
      <c r="A176" s="106"/>
      <c r="B176" s="106"/>
      <c r="C176" s="100" t="s">
        <v>276</v>
      </c>
      <c r="D176" s="101" t="n">
        <v>2.6</v>
      </c>
      <c r="E176" s="101" t="n">
        <v>1.9</v>
      </c>
      <c r="F176" s="102" t="n">
        <f aca="false">IF(AND(D176="",E176=""),"",AVERAGE(D176:E176))</f>
        <v>2.25</v>
      </c>
    </row>
    <row r="177" customFormat="false" ht="12.75" hidden="false" customHeight="false" outlineLevel="0" collapsed="false">
      <c r="A177" s="106"/>
      <c r="B177" s="106"/>
      <c r="C177" s="100" t="s">
        <v>277</v>
      </c>
      <c r="D177" s="101" t="n">
        <v>1.4</v>
      </c>
      <c r="E177" s="101" t="n">
        <v>4.3</v>
      </c>
      <c r="F177" s="102" t="n">
        <f aca="false">IF(AND(D177="",E177=""),"",AVERAGE(D177:E177))</f>
        <v>2.85</v>
      </c>
    </row>
    <row r="178" customFormat="false" ht="12.75" hidden="false" customHeight="false" outlineLevel="0" collapsed="false">
      <c r="A178" s="106"/>
      <c r="B178" s="106"/>
      <c r="C178" s="100" t="s">
        <v>278</v>
      </c>
      <c r="D178" s="101" t="n">
        <v>0.8</v>
      </c>
      <c r="E178" s="101" t="n">
        <v>3.7</v>
      </c>
      <c r="F178" s="102" t="n">
        <f aca="false">IF(AND(D178="",E178=""),"",AVERAGE(D178:E178))</f>
        <v>2.25</v>
      </c>
    </row>
    <row r="179" customFormat="false" ht="12.75" hidden="false" customHeight="false" outlineLevel="0" collapsed="false">
      <c r="A179" s="106"/>
      <c r="B179" s="106"/>
      <c r="C179" s="100" t="s">
        <v>279</v>
      </c>
      <c r="D179" s="101" t="n">
        <v>2.9</v>
      </c>
      <c r="E179" s="101" t="n">
        <v>2.9</v>
      </c>
      <c r="F179" s="102" t="n">
        <f aca="false">IF(AND(D179="",E179=""),"",AVERAGE(D179:E179))</f>
        <v>2.9</v>
      </c>
    </row>
    <row r="180" customFormat="false" ht="12.75" hidden="false" customHeight="false" outlineLevel="0" collapsed="false">
      <c r="A180" s="106"/>
      <c r="B180" s="106"/>
      <c r="C180" s="100" t="s">
        <v>280</v>
      </c>
      <c r="D180" s="101" t="n">
        <v>1.8</v>
      </c>
      <c r="E180" s="101" t="n">
        <v>2.7</v>
      </c>
      <c r="F180" s="102" t="n">
        <f aca="false">IF(AND(D180="",E180=""),"",AVERAGE(D180:E180))</f>
        <v>2.25</v>
      </c>
    </row>
    <row r="181" customFormat="false" ht="12.75" hidden="false" customHeight="false" outlineLevel="0" collapsed="false">
      <c r="A181" s="106"/>
      <c r="B181" s="106"/>
      <c r="C181" s="100" t="s">
        <v>281</v>
      </c>
      <c r="D181" s="101" t="n">
        <v>2.1</v>
      </c>
      <c r="E181" s="101" t="n">
        <v>3.4</v>
      </c>
      <c r="F181" s="102" t="n">
        <f aca="false">IF(AND(D181="",E181=""),"",AVERAGE(D181:E181))</f>
        <v>2.75</v>
      </c>
    </row>
    <row r="182" customFormat="false" ht="12.75" hidden="false" customHeight="false" outlineLevel="0" collapsed="false">
      <c r="A182" s="106"/>
      <c r="B182" s="106"/>
      <c r="C182" s="100" t="s">
        <v>282</v>
      </c>
      <c r="D182" s="101" t="n">
        <v>1</v>
      </c>
      <c r="E182" s="101" t="n">
        <v>1.8</v>
      </c>
      <c r="F182" s="102" t="n">
        <f aca="false">IF(AND(D182="",E182=""),"",AVERAGE(D182:E182))</f>
        <v>1.4</v>
      </c>
    </row>
    <row r="183" customFormat="false" ht="12.75" hidden="false" customHeight="false" outlineLevel="0" collapsed="false">
      <c r="A183" s="106"/>
      <c r="B183" s="106"/>
      <c r="C183" s="100" t="s">
        <v>283</v>
      </c>
      <c r="D183" s="101" t="n">
        <v>0.7</v>
      </c>
      <c r="E183" s="101" t="n">
        <v>3.1</v>
      </c>
      <c r="F183" s="102" t="n">
        <f aca="false">IF(AND(D183="",E183=""),"",AVERAGE(D183:E183))</f>
        <v>1.9</v>
      </c>
    </row>
    <row r="184" customFormat="false" ht="12.75" hidden="false" customHeight="false" outlineLevel="0" collapsed="false">
      <c r="A184" s="106"/>
      <c r="B184" s="106"/>
      <c r="C184" s="100" t="s">
        <v>284</v>
      </c>
      <c r="D184" s="101" t="n">
        <v>1.4</v>
      </c>
      <c r="E184" s="101" t="n">
        <v>2.5</v>
      </c>
      <c r="F184" s="102" t="n">
        <f aca="false">IF(AND(D184="",E184=""),"",AVERAGE(D184:E184))</f>
        <v>1.95</v>
      </c>
    </row>
    <row r="185" customFormat="false" ht="12.75" hidden="false" customHeight="false" outlineLevel="0" collapsed="false">
      <c r="A185" s="106"/>
      <c r="B185" s="99"/>
      <c r="C185" s="100" t="s">
        <v>322</v>
      </c>
      <c r="D185" s="101" t="n">
        <v>4.9</v>
      </c>
      <c r="E185" s="101" t="n">
        <v>5.5</v>
      </c>
      <c r="F185" s="102" t="n">
        <f aca="false">IF(AND(D185="",E185=""),"",AVERAGE(D185:E185))</f>
        <v>5.2</v>
      </c>
      <c r="G185" s="104"/>
    </row>
    <row r="186" customFormat="false" ht="15" hidden="false" customHeight="true" outlineLevel="0" collapsed="false">
      <c r="A186" s="106"/>
      <c r="B186" s="99" t="s">
        <v>135</v>
      </c>
      <c r="C186" s="100" t="s">
        <v>323</v>
      </c>
      <c r="D186" s="101" t="n">
        <v>1.5</v>
      </c>
      <c r="E186" s="101" t="n">
        <v>1.1</v>
      </c>
      <c r="F186" s="102" t="n">
        <f aca="false">IF(AND(D186="",E186=""),"",AVERAGE(D186:E186))</f>
        <v>1.3</v>
      </c>
    </row>
    <row r="187" customFormat="false" ht="12.75" hidden="false" customHeight="false" outlineLevel="0" collapsed="false">
      <c r="A187" s="106"/>
      <c r="B187" s="106"/>
      <c r="C187" s="100" t="s">
        <v>287</v>
      </c>
      <c r="D187" s="101" t="n">
        <v>0.5</v>
      </c>
      <c r="E187" s="101" t="n">
        <v>0.6</v>
      </c>
      <c r="F187" s="102" t="n">
        <f aca="false">IF(AND(D187="",E187=""),"",AVERAGE(D187:E187))</f>
        <v>0.55</v>
      </c>
    </row>
    <row r="188" customFormat="false" ht="12.75" hidden="false" customHeight="false" outlineLevel="0" collapsed="false">
      <c r="A188" s="106"/>
      <c r="B188" s="106"/>
      <c r="C188" s="100" t="s">
        <v>288</v>
      </c>
      <c r="D188" s="101" t="n">
        <v>1.2</v>
      </c>
      <c r="E188" s="101" t="n">
        <v>1.4</v>
      </c>
      <c r="F188" s="102" t="n">
        <f aca="false">IF(AND(D188="",E188=""),"",AVERAGE(D188:E188))</f>
        <v>1.3</v>
      </c>
    </row>
    <row r="189" customFormat="false" ht="24" hidden="false" customHeight="true" outlineLevel="0" collapsed="false">
      <c r="A189" s="106"/>
      <c r="B189" s="106"/>
      <c r="C189" s="100" t="s">
        <v>289</v>
      </c>
      <c r="D189" s="101" t="n">
        <v>0.8</v>
      </c>
      <c r="E189" s="101" t="n">
        <v>1.1</v>
      </c>
      <c r="F189" s="102" t="n">
        <f aca="false">IF(AND(D189="",E189=""),"",AVERAGE(D189:E189))</f>
        <v>0.95</v>
      </c>
    </row>
    <row r="190" customFormat="false" ht="24" hidden="false" customHeight="true" outlineLevel="0" collapsed="false">
      <c r="A190" s="106"/>
      <c r="B190" s="106"/>
      <c r="C190" s="100" t="s">
        <v>290</v>
      </c>
      <c r="D190" s="101" t="n">
        <v>0.3</v>
      </c>
      <c r="E190" s="101" t="n">
        <v>0.7</v>
      </c>
      <c r="F190" s="102" t="n">
        <f aca="false">IF(AND(D190="",E190=""),"",AVERAGE(D190:E190))</f>
        <v>0.5</v>
      </c>
    </row>
    <row r="191" customFormat="false" ht="24" hidden="false" customHeight="true" outlineLevel="0" collapsed="false">
      <c r="A191" s="106"/>
      <c r="B191" s="106"/>
      <c r="C191" s="100" t="s">
        <v>291</v>
      </c>
      <c r="D191" s="101" t="n">
        <v>0.5</v>
      </c>
      <c r="E191" s="101" t="n">
        <v>1.6</v>
      </c>
      <c r="F191" s="102" t="n">
        <f aca="false">IF(AND(D191="",E191=""),"",AVERAGE(D191:E191))</f>
        <v>1.05</v>
      </c>
    </row>
    <row r="192" customFormat="false" ht="12.75" hidden="false" customHeight="false" outlineLevel="0" collapsed="false">
      <c r="A192" s="106"/>
      <c r="B192" s="106"/>
      <c r="C192" s="100" t="s">
        <v>292</v>
      </c>
      <c r="D192" s="101" t="n">
        <v>0.6</v>
      </c>
      <c r="E192" s="101" t="n">
        <v>1.4</v>
      </c>
      <c r="F192" s="102" t="n">
        <f aca="false">IF(AND(D192="",E192=""),"",AVERAGE(D192:E192))</f>
        <v>1</v>
      </c>
    </row>
    <row r="193" customFormat="false" ht="12.75" hidden="false" customHeight="false" outlineLevel="0" collapsed="false">
      <c r="A193" s="106"/>
      <c r="B193" s="106"/>
      <c r="C193" s="100" t="s">
        <v>293</v>
      </c>
      <c r="D193" s="101" t="n">
        <v>0.4</v>
      </c>
      <c r="E193" s="101" t="n">
        <v>0.6</v>
      </c>
      <c r="F193" s="102" t="n">
        <f aca="false">IF(AND(D193="",E193=""),"",AVERAGE(D193:E193))</f>
        <v>0.5</v>
      </c>
    </row>
    <row r="194" customFormat="false" ht="12.75" hidden="false" customHeight="false" outlineLevel="0" collapsed="false">
      <c r="A194" s="106"/>
      <c r="B194" s="106"/>
      <c r="C194" s="100" t="s">
        <v>294</v>
      </c>
      <c r="D194" s="101" t="n">
        <v>1.5</v>
      </c>
      <c r="E194" s="101" t="n">
        <v>1.3</v>
      </c>
      <c r="F194" s="102" t="n">
        <f aca="false">IF(AND(D194="",E194=""),"",AVERAGE(D194:E194))</f>
        <v>1.4</v>
      </c>
    </row>
    <row r="195" customFormat="false" ht="12.75" hidden="false" customHeight="false" outlineLevel="0" collapsed="false">
      <c r="A195" s="106"/>
      <c r="B195" s="106"/>
      <c r="C195" s="100" t="s">
        <v>295</v>
      </c>
      <c r="D195" s="101" t="n">
        <v>1.3</v>
      </c>
      <c r="E195" s="101" t="n">
        <v>1.4</v>
      </c>
      <c r="F195" s="102" t="n">
        <f aca="false">IF(AND(D195="",E195=""),"",AVERAGE(D195:E195))</f>
        <v>1.35</v>
      </c>
    </row>
    <row r="196" customFormat="false" ht="12.75" hidden="false" customHeight="false" outlineLevel="0" collapsed="false">
      <c r="A196" s="106"/>
      <c r="B196" s="106"/>
      <c r="C196" s="100" t="s">
        <v>296</v>
      </c>
      <c r="D196" s="101" t="n">
        <v>1.7</v>
      </c>
      <c r="E196" s="101" t="n">
        <v>1.8</v>
      </c>
      <c r="F196" s="102" t="n">
        <f aca="false">IF(AND(D196="",E196=""),"",AVERAGE(D196:E196))</f>
        <v>1.75</v>
      </c>
    </row>
    <row r="197" customFormat="false" ht="12.75" hidden="false" customHeight="false" outlineLevel="0" collapsed="false">
      <c r="A197" s="106"/>
      <c r="B197" s="106"/>
      <c r="C197" s="100" t="s">
        <v>297</v>
      </c>
      <c r="D197" s="101" t="n">
        <v>0.7</v>
      </c>
      <c r="E197" s="101" t="n">
        <v>1</v>
      </c>
      <c r="F197" s="102" t="n">
        <f aca="false">IF(AND(D197="",E197=""),"",AVERAGE(D197:E197))</f>
        <v>0.85</v>
      </c>
    </row>
    <row r="198" customFormat="false" ht="12.75" hidden="false" customHeight="false" outlineLevel="0" collapsed="false">
      <c r="A198" s="106"/>
      <c r="B198" s="106"/>
      <c r="C198" s="100" t="s">
        <v>324</v>
      </c>
      <c r="D198" s="101" t="n">
        <v>1.7</v>
      </c>
      <c r="E198" s="101" t="n">
        <v>1.6</v>
      </c>
      <c r="F198" s="102" t="n">
        <f aca="false">IF(AND(D198="",E198=""),"",AVERAGE(D198:E198))</f>
        <v>1.65</v>
      </c>
    </row>
  </sheetData>
  <mergeCells count="20">
    <mergeCell ref="A1:F1"/>
    <mergeCell ref="A2:F2"/>
    <mergeCell ref="A4:A68"/>
    <mergeCell ref="B4:B16"/>
    <mergeCell ref="B17:B29"/>
    <mergeCell ref="B30:B42"/>
    <mergeCell ref="B43:B55"/>
    <mergeCell ref="B56:B68"/>
    <mergeCell ref="A69:A133"/>
    <mergeCell ref="B69:B81"/>
    <mergeCell ref="B82:B94"/>
    <mergeCell ref="B95:B107"/>
    <mergeCell ref="B108:B120"/>
    <mergeCell ref="B121:B133"/>
    <mergeCell ref="A134:A198"/>
    <mergeCell ref="B134:B146"/>
    <mergeCell ref="B147:B159"/>
    <mergeCell ref="B160:B172"/>
    <mergeCell ref="B173:B185"/>
    <mergeCell ref="B186:B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2026-09-23T05:16:40Z</dcterms:created>
  <dc:creator>openpyxl</dc:creator>
  <dc:description/>
  <dc:language>en-US</dc:language>
  <cp:lastModifiedBy>ROY GEOVANY UMAÑA GARRIDO</cp:lastModifiedBy>
  <dcterms:modified xsi:type="dcterms:W3CDTF">2026-09-23T07:47:13Z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