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agab\Downloads\Dihscretas\"/>
    </mc:Choice>
  </mc:AlternateContent>
  <xr:revisionPtr revIDLastSave="0" documentId="13_ncr:1_{1EBFF10B-10BD-43CE-8525-B6DE47436D7D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Lista de Sucursales" sheetId="1" r:id="rId1"/>
    <sheet name="Bloques de Sucursales" sheetId="4" r:id="rId2"/>
    <sheet name="Candidatos" sheetId="6" r:id="rId3"/>
    <sheet name="Distancias de Farmacias Vecinas" sheetId="2" r:id="rId4"/>
    <sheet name="Distancias de Candidatos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3" l="1"/>
  <c r="F7" i="3" s="1"/>
  <c r="F3" i="3"/>
  <c r="F4" i="3"/>
  <c r="F5" i="3"/>
  <c r="F6" i="3"/>
  <c r="F8" i="3"/>
  <c r="F9" i="3"/>
  <c r="F10" i="3"/>
  <c r="F11" i="3"/>
  <c r="F12" i="3"/>
  <c r="F13" i="3"/>
  <c r="F14" i="3"/>
  <c r="F15" i="3"/>
  <c r="F16" i="3"/>
  <c r="F2" i="3"/>
  <c r="F253" i="2"/>
  <c r="F252" i="2"/>
  <c r="F251" i="2"/>
  <c r="F249" i="2"/>
  <c r="F248" i="2"/>
  <c r="F247" i="2"/>
  <c r="F245" i="2"/>
  <c r="F244" i="2"/>
  <c r="D243" i="2"/>
  <c r="F243" i="2" s="1"/>
  <c r="F241" i="2"/>
  <c r="F240" i="2"/>
  <c r="F239" i="2"/>
  <c r="F237" i="2"/>
  <c r="F236" i="2"/>
  <c r="F235" i="2"/>
  <c r="F233" i="2"/>
  <c r="F232" i="2"/>
  <c r="D231" i="2"/>
  <c r="E231" i="2"/>
  <c r="F229" i="2"/>
  <c r="F228" i="2"/>
  <c r="F227" i="2"/>
  <c r="E227" i="2"/>
  <c r="F225" i="2"/>
  <c r="D224" i="2"/>
  <c r="F224" i="2" s="1"/>
  <c r="D223" i="2"/>
  <c r="E223" i="2"/>
  <c r="F221" i="2"/>
  <c r="F220" i="2"/>
  <c r="E219" i="2"/>
  <c r="F219" i="2" s="1"/>
  <c r="F217" i="2"/>
  <c r="F216" i="2"/>
  <c r="F215" i="2"/>
  <c r="F213" i="2"/>
  <c r="F212" i="2"/>
  <c r="D211" i="2"/>
  <c r="F211" i="2" s="1"/>
  <c r="F209" i="2"/>
  <c r="D208" i="2"/>
  <c r="E208" i="2"/>
  <c r="E207" i="2"/>
  <c r="F207" i="2" s="1"/>
  <c r="F205" i="2"/>
  <c r="F204" i="2"/>
  <c r="F203" i="2"/>
  <c r="D201" i="2"/>
  <c r="F201" i="2" s="1"/>
  <c r="D200" i="2"/>
  <c r="E200" i="2"/>
  <c r="D199" i="2"/>
  <c r="F199" i="2" s="1"/>
  <c r="E199" i="2"/>
  <c r="F197" i="2"/>
  <c r="F196" i="2"/>
  <c r="F195" i="2"/>
  <c r="F193" i="2"/>
  <c r="D192" i="2"/>
  <c r="F192" i="2" s="1"/>
  <c r="F191" i="2"/>
  <c r="F189" i="2"/>
  <c r="F188" i="2"/>
  <c r="D187" i="2"/>
  <c r="F187" i="2" s="1"/>
  <c r="F185" i="2"/>
  <c r="F184" i="2"/>
  <c r="F183" i="2"/>
  <c r="F181" i="2"/>
  <c r="E180" i="2"/>
  <c r="F180" i="2" s="1"/>
  <c r="D179" i="2"/>
  <c r="E179" i="2"/>
  <c r="D176" i="2"/>
  <c r="F176" i="2" s="1"/>
  <c r="D175" i="2"/>
  <c r="F175" i="2" s="1"/>
  <c r="F173" i="2"/>
  <c r="F172" i="2"/>
  <c r="E171" i="2"/>
  <c r="F171" i="2" s="1"/>
  <c r="F169" i="2"/>
  <c r="E168" i="2"/>
  <c r="F168" i="2" s="1"/>
  <c r="D167" i="2"/>
  <c r="E167" i="2"/>
  <c r="F165" i="2"/>
  <c r="F164" i="2"/>
  <c r="F163" i="2"/>
  <c r="F161" i="2"/>
  <c r="E160" i="2"/>
  <c r="F160" i="2" s="1"/>
  <c r="E159" i="2"/>
  <c r="F159" i="2" s="1"/>
  <c r="F157" i="2"/>
  <c r="F156" i="2"/>
  <c r="D155" i="2"/>
  <c r="F155" i="2" s="1"/>
  <c r="F153" i="2"/>
  <c r="F152" i="2"/>
  <c r="D151" i="2"/>
  <c r="F151" i="2" s="1"/>
  <c r="F149" i="2"/>
  <c r="F148" i="2"/>
  <c r="D147" i="2"/>
  <c r="E147" i="2"/>
  <c r="F145" i="2"/>
  <c r="F144" i="2"/>
  <c r="E143" i="2"/>
  <c r="F143" i="2" s="1"/>
  <c r="F141" i="2"/>
  <c r="F140" i="2"/>
  <c r="E139" i="2"/>
  <c r="F139" i="2" s="1"/>
  <c r="F137" i="2"/>
  <c r="F136" i="2"/>
  <c r="F135" i="2"/>
  <c r="F133" i="2"/>
  <c r="F132" i="2"/>
  <c r="F131" i="2"/>
  <c r="F129" i="2"/>
  <c r="F128" i="2"/>
  <c r="D127" i="2"/>
  <c r="F127" i="2" s="1"/>
  <c r="F125" i="2"/>
  <c r="F124" i="2"/>
  <c r="F123" i="2"/>
  <c r="E123" i="2"/>
  <c r="F121" i="2"/>
  <c r="F120" i="2"/>
  <c r="F119" i="2"/>
  <c r="F117" i="2"/>
  <c r="F116" i="2"/>
  <c r="F115" i="2"/>
  <c r="E113" i="2"/>
  <c r="F113" i="2" s="1"/>
  <c r="D112" i="2"/>
  <c r="F112" i="2" s="1"/>
  <c r="E112" i="2"/>
  <c r="E111" i="2"/>
  <c r="F111" i="2" s="1"/>
  <c r="F109" i="2"/>
  <c r="F108" i="2"/>
  <c r="E107" i="2"/>
  <c r="F107" i="2" s="1"/>
  <c r="D105" i="2"/>
  <c r="F105" i="2" s="1"/>
  <c r="E105" i="2"/>
  <c r="D104" i="2"/>
  <c r="F104" i="2" s="1"/>
  <c r="D103" i="2"/>
  <c r="F103" i="2" s="1"/>
  <c r="E103" i="2"/>
  <c r="E101" i="2"/>
  <c r="F101" i="2" s="1"/>
  <c r="D100" i="2"/>
  <c r="F100" i="2" s="1"/>
  <c r="D99" i="2"/>
  <c r="F99" i="2" s="1"/>
  <c r="F97" i="2"/>
  <c r="E96" i="2"/>
  <c r="F96" i="2" s="1"/>
  <c r="D95" i="2"/>
  <c r="F95" i="2" s="1"/>
  <c r="E95" i="2"/>
  <c r="D93" i="2"/>
  <c r="F93" i="2" s="1"/>
  <c r="E93" i="2"/>
  <c r="D92" i="2"/>
  <c r="E92" i="2"/>
  <c r="D91" i="2"/>
  <c r="E91" i="2"/>
  <c r="F89" i="2"/>
  <c r="F88" i="2"/>
  <c r="F87" i="2"/>
  <c r="F85" i="2"/>
  <c r="F84" i="2"/>
  <c r="F83" i="2"/>
  <c r="F81" i="2"/>
  <c r="F80" i="2"/>
  <c r="F79" i="2"/>
  <c r="F77" i="2"/>
  <c r="F76" i="2"/>
  <c r="D75" i="2"/>
  <c r="F75" i="2" s="1"/>
  <c r="E75" i="2"/>
  <c r="F73" i="2"/>
  <c r="F72" i="2"/>
  <c r="D71" i="2"/>
  <c r="F71" i="2" s="1"/>
  <c r="E71" i="2"/>
  <c r="F69" i="2"/>
  <c r="F68" i="2"/>
  <c r="F67" i="2"/>
  <c r="D65" i="2"/>
  <c r="F65" i="2" s="1"/>
  <c r="E65" i="2"/>
  <c r="D64" i="2"/>
  <c r="F64" i="2" s="1"/>
  <c r="D63" i="2"/>
  <c r="E63" i="2"/>
  <c r="F61" i="2"/>
  <c r="F60" i="2"/>
  <c r="F59" i="2"/>
  <c r="F57" i="2"/>
  <c r="F56" i="2"/>
  <c r="F55" i="2"/>
  <c r="D53" i="2"/>
  <c r="F53" i="2" s="1"/>
  <c r="F52" i="2"/>
  <c r="D51" i="2"/>
  <c r="F51" i="2" s="1"/>
  <c r="E51" i="2"/>
  <c r="F49" i="2"/>
  <c r="F48" i="2"/>
  <c r="E47" i="2"/>
  <c r="F47" i="2" s="1"/>
  <c r="F45" i="2"/>
  <c r="F44" i="2"/>
  <c r="F43" i="2"/>
  <c r="F41" i="2"/>
  <c r="F40" i="2"/>
  <c r="D39" i="2"/>
  <c r="F39" i="2" s="1"/>
  <c r="E39" i="2"/>
  <c r="F37" i="2"/>
  <c r="F36" i="2"/>
  <c r="F35" i="2"/>
  <c r="F33" i="2"/>
  <c r="F32" i="2"/>
  <c r="D31" i="2"/>
  <c r="F31" i="2" s="1"/>
  <c r="F29" i="2"/>
  <c r="F28" i="2"/>
  <c r="F27" i="2"/>
  <c r="F25" i="2"/>
  <c r="F24" i="2"/>
  <c r="F23" i="2"/>
  <c r="F21" i="2"/>
  <c r="F20" i="2"/>
  <c r="F19" i="2"/>
  <c r="F17" i="2"/>
  <c r="F16" i="2"/>
  <c r="F15" i="2"/>
  <c r="D13" i="2"/>
  <c r="F13" i="2" s="1"/>
  <c r="D12" i="2"/>
  <c r="F12" i="2" s="1"/>
  <c r="D11" i="2"/>
  <c r="E11" i="2"/>
  <c r="F9" i="2"/>
  <c r="F8" i="2"/>
  <c r="F7" i="2"/>
  <c r="F5" i="2"/>
  <c r="F4" i="2"/>
  <c r="D3" i="2"/>
  <c r="F3" i="2" s="1"/>
  <c r="G7" i="3" l="1"/>
  <c r="G2" i="3"/>
  <c r="G12" i="3"/>
  <c r="F147" i="2"/>
  <c r="F63" i="2"/>
  <c r="F179" i="2"/>
  <c r="F92" i="2"/>
  <c r="F223" i="2"/>
  <c r="F231" i="2"/>
  <c r="F167" i="2"/>
  <c r="F208" i="2"/>
  <c r="F91" i="2"/>
  <c r="F200" i="2"/>
  <c r="F11" i="2"/>
</calcChain>
</file>

<file path=xl/sharedStrings.xml><?xml version="1.0" encoding="utf-8"?>
<sst xmlns="http://schemas.openxmlformats.org/spreadsheetml/2006/main" count="578" uniqueCount="229">
  <si>
    <t># de Tienda</t>
  </si>
  <si>
    <t>#</t>
  </si>
  <si>
    <t>Bloque</t>
  </si>
  <si>
    <t>Sucursal</t>
  </si>
  <si>
    <t>Nombre Siman</t>
  </si>
  <si>
    <t>Candidato</t>
  </si>
  <si>
    <t>Ubicacion - Google Maps</t>
  </si>
  <si>
    <t>Distancia Vuelta (km)</t>
  </si>
  <si>
    <t>Nombre de Farmacia</t>
  </si>
  <si>
    <t>Distancia Ida (km)</t>
  </si>
  <si>
    <t>Dirección</t>
  </si>
  <si>
    <t>Hora de Apertura</t>
  </si>
  <si>
    <t>Hora de Cierre</t>
  </si>
  <si>
    <t>33 Calle Col Guillen</t>
  </si>
  <si>
    <t>Simán • 33 Calle Col. Guillén</t>
  </si>
  <si>
    <t>33 calle Colonia Guillen,contiguo a Ferreteria y Maderera</t>
  </si>
  <si>
    <t>Barandillas</t>
  </si>
  <si>
    <t>Colonia Barandillas avenida Juan Pablo II, en 11 calle N.E.</t>
  </si>
  <si>
    <t>Boulevar Del Este 1</t>
  </si>
  <si>
    <t>Distancia Ida</t>
  </si>
  <si>
    <t>Boulevar del este, 1ra calle, 10 y 11 Ave</t>
  </si>
  <si>
    <t>Distancia desde la sucursal principal hasta la sucursal vecina</t>
  </si>
  <si>
    <t>Simán Luisiana</t>
  </si>
  <si>
    <t>Col. La Aurora</t>
  </si>
  <si>
    <t>Col. La Aurora, 10 calle, 18 avenida S.E. 2ndo Anillo En Gasolinera TEXACO</t>
  </si>
  <si>
    <t>El Roble- Plaza Bogran</t>
  </si>
  <si>
    <t>Col. El Roble Prolongación Ave Junior 12 calle No 51.</t>
  </si>
  <si>
    <t>Plaza Carolina</t>
  </si>
  <si>
    <t>Boulevar Mackey, costado oeste de Residencial Nova, contiguo a Caobas Café</t>
  </si>
  <si>
    <t>Rancho El Coco</t>
  </si>
  <si>
    <t>Residencial Rancho El Coco, nor-oeste, carretera principal</t>
  </si>
  <si>
    <t>Santa Monica</t>
  </si>
  <si>
    <t>Santa Monica Rio Blanco, bulevar Del Norte,</t>
  </si>
  <si>
    <t>Distancia Vuelta</t>
  </si>
  <si>
    <t>Distancia desde la sucursal vecina hasta la sucursal principal</t>
  </si>
  <si>
    <t>Simán 13 Calle - Ave. Juan Pablo 2do.</t>
  </si>
  <si>
    <t>SIMÁN PLAZA VICAY</t>
  </si>
  <si>
    <t>Bo. Medina, 13 calle, ave. Juan Pablo 2do.</t>
  </si>
  <si>
    <t>Simán 20 Calle - A Una Cuadra De Pollo Gol</t>
  </si>
  <si>
    <t>Bo. Las Palmas, 20 calle, 10 ave. 1 cuadra abajo de Pollo Gool</t>
  </si>
  <si>
    <t>VILLA OLIMPICA</t>
  </si>
  <si>
    <t>Simán 2Do Anillo</t>
  </si>
  <si>
    <t>Dirección Esquipulas 2, Segundo Anillo, Antes Del Puente De La entrada a Aldea El Carmen.</t>
  </si>
  <si>
    <t>Simán • Barandillas</t>
  </si>
  <si>
    <t>Simán 3 Ave. - Centro SPS</t>
  </si>
  <si>
    <t>3 ave., 2-3 calle, S.o.</t>
  </si>
  <si>
    <t>Simán Avenida Junior</t>
  </si>
  <si>
    <t>Simán 4TA. Calle</t>
  </si>
  <si>
    <t>Bulevar Juan Pablo 2do. 4ta calle S.E.</t>
  </si>
  <si>
    <t>Simán Arenales</t>
  </si>
  <si>
    <t>Frente a bulevar del este, sector Arenales dentro de la Gasolinera TEXACO Arenales</t>
  </si>
  <si>
    <t>Ave. Juan Pablo II, Col. Las Flores 3 ave. N.e.</t>
  </si>
  <si>
    <t>Simán Salida a La Lima</t>
  </si>
  <si>
    <t>Simán Bendaña - Dentro De Hospital Bendaña</t>
  </si>
  <si>
    <t>Simán • Bulevar del Este #1</t>
  </si>
  <si>
    <t>Simán Boulevard del norte</t>
  </si>
  <si>
    <t>19 calle frente a Wendys</t>
  </si>
  <si>
    <t>Simán Calpules</t>
  </si>
  <si>
    <t>27 calle, carretera a La Lima, sector N.e</t>
  </si>
  <si>
    <t>Simán Calpules 2</t>
  </si>
  <si>
    <t>27 calle, colonia Calpules de San Sebastián, Aldea Calpules, Plaza Jogar</t>
  </si>
  <si>
    <t>Simán Catarino</t>
  </si>
  <si>
    <t>Plaza Comercial Catarino Rivas, en el bulevar del mismo nombre, frente a la entrada principal del Hospital Mario Catarino Rivas.</t>
  </si>
  <si>
    <t>Simán Cemesa - Frente a clínica Cemesa</t>
  </si>
  <si>
    <t>Bulevar del sur 12 ave. 22 calle, Col. Prado Alto</t>
  </si>
  <si>
    <t>Simán Colonial #03 - Supermercado Colonial</t>
  </si>
  <si>
    <t>Simán Chamelecón</t>
  </si>
  <si>
    <t>Sector Chamelecón, Bo. El Centro</t>
  </si>
  <si>
    <t>Simán Circunvalación #01</t>
  </si>
  <si>
    <t>Bo. Río De Piedras, avenida circunvalación, 5 y 6 calle.</t>
  </si>
  <si>
    <t>Simán Circunvalación #02 - Plaza Moderna</t>
  </si>
  <si>
    <t>Ave. Circunvalación 7 calle N.O. Plaza Moderna.</t>
  </si>
  <si>
    <t>Simán City Mall #01 - SPS</t>
  </si>
  <si>
    <t>Colonia Las Mesetas, dentro del City Mall SPS</t>
  </si>
  <si>
    <t>Simán Colonial #01</t>
  </si>
  <si>
    <t>Adentro Supermercados Colonial 1</t>
  </si>
  <si>
    <t>Simán Colonial #02 - Blv. Del Norte</t>
  </si>
  <si>
    <t>Blv. Del Norte, Adentro Supermercados Colonial 2</t>
  </si>
  <si>
    <t>Col. San Fernando 1ra calle salida a Lima</t>
  </si>
  <si>
    <t>Simán Derma Sps</t>
  </si>
  <si>
    <t>El Pedregal, Blvr. Mario Catarino Rivas</t>
  </si>
  <si>
    <t>SIMÁN EL PEDREGAL</t>
  </si>
  <si>
    <t>El Pedregal, Bulevar José Peraza, contiguo a Academia Americana.</t>
  </si>
  <si>
    <t>Simán • Texaco Aurora</t>
  </si>
  <si>
    <t>Simán Express</t>
  </si>
  <si>
    <t>Avenida circunvalación, 11 ave., 14 calle, N.O., frente al Teatro José Francisco Saybe</t>
  </si>
  <si>
    <t>SIMAN GALERIAS DEL VALLE - MALL GALERIAS</t>
  </si>
  <si>
    <t>Col. Jardines Del Valle, bulevar Micheletti, Mall Galerias Del Valle, 2do Nivel.</t>
  </si>
  <si>
    <t>Simán Hiper Antorcha - Super. Walmart</t>
  </si>
  <si>
    <t>Bulevar Del Norte, al interior del Supermercado Walmart</t>
  </si>
  <si>
    <t>Simán Hospital Del Valle</t>
  </si>
  <si>
    <t>Frente a Condominios Médicos Del Hospital Del Valle</t>
  </si>
  <si>
    <t>Simán Mega Mall</t>
  </si>
  <si>
    <t>Simán Ivihsa</t>
  </si>
  <si>
    <t>Centro Comercial IVIHSA, carretera a La Lima</t>
  </si>
  <si>
    <t>Town Center</t>
  </si>
  <si>
    <t>Simán • El Roble - Plaza Bográn</t>
  </si>
  <si>
    <t>Simán Jardines - Contiguo a Denny's</t>
  </si>
  <si>
    <t>Col. Jardines Del Valle, calle a la UNAH-VS</t>
  </si>
  <si>
    <t>Simán Las Palmas - Frte. A Grupo Aire</t>
  </si>
  <si>
    <t>Bo. Las Palmas, 27 calle, 8 Ave, frente a Grupo Aire</t>
  </si>
  <si>
    <t>Simán Los Álamos</t>
  </si>
  <si>
    <t>Colonia Colvisula 19 y 20 calle, 2da ave. atrás de Extractores Fuentes, frente a carretera hacia Armenta.</t>
  </si>
  <si>
    <t>Simán Los Andes</t>
  </si>
  <si>
    <t>10 ave., 11-12 calle, Bo. Los Andes</t>
  </si>
  <si>
    <t>Gasolinera UNO Luisiana, carretera al Estadio Olímpico</t>
  </si>
  <si>
    <t>Simán Tara</t>
  </si>
  <si>
    <t>Simán Mall Altara</t>
  </si>
  <si>
    <t>2do Nivel Mall Altara, al par de Banco Atlantida</t>
  </si>
  <si>
    <t>SIMÁN MALL MULTIPLAZA</t>
  </si>
  <si>
    <t>Al interior del Mall Multi Plaza segundo nivel local 208.</t>
  </si>
  <si>
    <t>Simán Medina - Farmaplus</t>
  </si>
  <si>
    <t>6ave., 7 calle, Bo. Medina</t>
  </si>
  <si>
    <t>Farmacia Simán • Plaza Carolina</t>
  </si>
  <si>
    <t>Centro comercial Mega Mall, Segundo Nivel, Local # 280, contiguo al local del Banco Del País</t>
  </si>
  <si>
    <t>Simán Plaza Geo</t>
  </si>
  <si>
    <t>Bo. Paz Barahona, 13 calle 12 Ave S.O.</t>
  </si>
  <si>
    <t>Simán Plaza Isabella</t>
  </si>
  <si>
    <t>Ave. New Orleans y ave. Juan Pablo II S.O., Bo. La Guardia</t>
  </si>
  <si>
    <t>Simán Villas Mackey - Blv. Mackey</t>
  </si>
  <si>
    <t>Simán Plaza Numa - Blv. Mackey</t>
  </si>
  <si>
    <t>Blv. Mackey, contiguo Entrada Res. Portofino</t>
  </si>
  <si>
    <t>Sobre la 33 calle, sector El Polvorin, a la par de Transportes Scooby</t>
  </si>
  <si>
    <t>Siman Rancho el coco</t>
  </si>
  <si>
    <t>Simán Pradera</t>
  </si>
  <si>
    <t>Colonia Reparto Lempira, 27 calle , 7 y 8 Ave S.E., a 0.9 Km de la Central De Abastos</t>
  </si>
  <si>
    <t>Simán Río De Piedras - Frente Al Costillal</t>
  </si>
  <si>
    <t>18 ave. 8 calle, Barrio Río De Piedras</t>
  </si>
  <si>
    <t>SIMÁN SALAMANCA</t>
  </si>
  <si>
    <t>Carretera hacia A Aldea El Carmen frente a Residencial Salamanca</t>
  </si>
  <si>
    <t>1ra Calle. salida a La Lima, a la par de Popeye´s frente a IPSA</t>
  </si>
  <si>
    <t>Simán Santa Martha</t>
  </si>
  <si>
    <t>Entrada a Lomas Del Carmen, Plaza Santa Martha entre Residencial Santa Isabel y Despensa Familiar</t>
  </si>
  <si>
    <t>Simán Stibys</t>
  </si>
  <si>
    <t>Residencial Los Medicos, sector Palenque, Casa Del Valle contiguo al Colegio Médico</t>
  </si>
  <si>
    <t>Simán • Plaza Prisma</t>
  </si>
  <si>
    <t>Bulevar Del Norte, salida A Cortés En Plantel De Gasolinera UNO, entrada a Colonia Tara</t>
  </si>
  <si>
    <t>Simán Trejo - Frente A Terravista Plaza</t>
  </si>
  <si>
    <t>Bo. Río De Piedra, 23 avenida 10 calle, contiguo a Plaza Terravista</t>
  </si>
  <si>
    <t>Bulevar Villas Mackey, entrada a Res. Los Cedros</t>
  </si>
  <si>
    <t>Simán Zerón</t>
  </si>
  <si>
    <t>Col. Zerón, 21 ave. 7 calle B</t>
  </si>
  <si>
    <t>Simán Zip San Jose</t>
  </si>
  <si>
    <t>20 calle, 2do anillo periférico en Gasolinera TEXACO contiguo a Zip San José</t>
  </si>
  <si>
    <t>SPS JUCUTUMA</t>
  </si>
  <si>
    <t>Frente a Bosques De Jucutuma 1era y 2da Etapa, en Gasolinera TEXACO</t>
  </si>
  <si>
    <t>Simán • 13 Calle - Ave. Juan Pablo 2do.</t>
  </si>
  <si>
    <t>Super Simán - Barrio El Benque</t>
  </si>
  <si>
    <t>Bo. El Benque, 5 calle, 6 avenida S.O.</t>
  </si>
  <si>
    <t>BARRIO EL SAUCE, CALLE 1 AVENIDA 18, CARRETERA A LA LIMA, CENTRO COMERCIAL TOWN CENTER</t>
  </si>
  <si>
    <t>Colonia Valle De Sula, 2do Anillo Sur, entre 29 y 30 calle, en Gasolinera TEXACO</t>
  </si>
  <si>
    <t>Simán • 20 Calle - a una Cuadra de Pollo Gol</t>
  </si>
  <si>
    <t>Simán • 2do Anillo</t>
  </si>
  <si>
    <t>Simán • 3 Ave. - Centro SPS</t>
  </si>
  <si>
    <t>Simán • 4ta. Calle - Blv. Juan Pablo II</t>
  </si>
  <si>
    <t>Simán • Texaco Arenales</t>
  </si>
  <si>
    <t>Simán • Avenida Junior</t>
  </si>
  <si>
    <t>Simán • Bendaña - Dentro de Hospital Bendaña</t>
  </si>
  <si>
    <t>Simán • Bulevar del Norte - Contiguo a Centro Cerámicas</t>
  </si>
  <si>
    <t>Simán • Calpules</t>
  </si>
  <si>
    <t>Plaza JOGAR</t>
  </si>
  <si>
    <t>Simán • Catarino</t>
  </si>
  <si>
    <t>Simán • Cemesa - Frente a Clínica Cemesa</t>
  </si>
  <si>
    <t>Simán • Chamelecón</t>
  </si>
  <si>
    <t>Simán • Circunvalación</t>
  </si>
  <si>
    <t>Simán • Plaza Moderna</t>
  </si>
  <si>
    <t>Simán • City Mall #01 - SPS</t>
  </si>
  <si>
    <t>Simán • Colonial #1</t>
  </si>
  <si>
    <t>Simán • Supermercado Colonial 02 - Blv. del Norte</t>
  </si>
  <si>
    <t>Simán • Dentro de Supermercado Colonial #3 Salida a la Lima</t>
  </si>
  <si>
    <t>Simán • El Pedregal</t>
  </si>
  <si>
    <t>Simán • Express</t>
  </si>
  <si>
    <t>Simán • Mall Galerías</t>
  </si>
  <si>
    <t>Simán • Supermercado Walmart</t>
  </si>
  <si>
    <t>Simán • Hospital del Valle</t>
  </si>
  <si>
    <t>Simán • Plaza Ivihsa</t>
  </si>
  <si>
    <t>Simán • Jardines - Contiguo a Denny's</t>
  </si>
  <si>
    <t>Simán • Las Palmas - Frente a Grupo Aire</t>
  </si>
  <si>
    <t>Simán • Los Álamos</t>
  </si>
  <si>
    <t>Simán • Los Andes</t>
  </si>
  <si>
    <t>Simán • Luisiana</t>
  </si>
  <si>
    <t>Simán • Altara</t>
  </si>
  <si>
    <t>Simán • Multiplaza</t>
  </si>
  <si>
    <t>Simán • Medina - Farmaplus</t>
  </si>
  <si>
    <t>Simán • Mega Mall</t>
  </si>
  <si>
    <t>Farmacia Simán • Plaza Geo Sur</t>
  </si>
  <si>
    <t>Simán • Plaza Isabella</t>
  </si>
  <si>
    <t>Simán • Plaza Numa - Blv. Mackay</t>
  </si>
  <si>
    <t>Simán • Plaza Vicay</t>
  </si>
  <si>
    <t>Simán • Pradera</t>
  </si>
  <si>
    <t>Simán • Río de Piedras</t>
  </si>
  <si>
    <t>Simán • Salamanca</t>
  </si>
  <si>
    <t>Simán • Salida a La Lima</t>
  </si>
  <si>
    <t>Simán • Plaza Santa Martha</t>
  </si>
  <si>
    <t>Simán • Stibys</t>
  </si>
  <si>
    <t>Simán • Tara</t>
  </si>
  <si>
    <t>Simán • Trejo - Frente a Terravista Plaza</t>
  </si>
  <si>
    <t>Simán • Blv. Mackay</t>
  </si>
  <si>
    <t>Simán • Zerón</t>
  </si>
  <si>
    <t>Simán • ZIP San José</t>
  </si>
  <si>
    <t>Simán • Jucutuma</t>
  </si>
  <si>
    <t>Súper Farmacia Simán</t>
  </si>
  <si>
    <t>Simán • Town Center</t>
  </si>
  <si>
    <t>Simán • Villa Olímpica</t>
  </si>
  <si>
    <t>Bloque 1</t>
  </si>
  <si>
    <t># de Farmacia</t>
  </si>
  <si>
    <t>Bloque 2</t>
  </si>
  <si>
    <t>Bloque 3</t>
  </si>
  <si>
    <t>Bloque 4</t>
  </si>
  <si>
    <t>Bloque 5</t>
  </si>
  <si>
    <t>Esta sucursal será atendida mediante un mantenimiento sobre demanda.</t>
  </si>
  <si>
    <t>Ubicacion</t>
  </si>
  <si>
    <t>Google Maps</t>
  </si>
  <si>
    <t>Sector La 105 Brigada</t>
  </si>
  <si>
    <t>105 Brigada</t>
  </si>
  <si>
    <t>Candidato A - Zona Norte</t>
  </si>
  <si>
    <t>Candidato B - Zona Sur</t>
  </si>
  <si>
    <t>Candidato C - Zona Centro</t>
  </si>
  <si>
    <t>Barrio Los Andes, 21102 San Pedro Sula, Cortés, Honduras</t>
  </si>
  <si>
    <t>Barrio Los Andes</t>
  </si>
  <si>
    <t>Zona industrial, Sector el Polvorín</t>
  </si>
  <si>
    <t>Planta Bloques Nueva</t>
  </si>
  <si>
    <t>A</t>
  </si>
  <si>
    <t>B</t>
  </si>
  <si>
    <t>C</t>
  </si>
  <si>
    <t>Distancia Promedio (km)</t>
  </si>
  <si>
    <t>Distancia desde el candidato hasta la sucursal mas cercana del bloque</t>
  </si>
  <si>
    <t>Distancia desde la sucursal mas cercana del bloque hasta el candidato</t>
  </si>
  <si>
    <t>Suma Promedios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</si>
</sst>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>
    <font>
      <sz val="10"/>
      <color rgb="FF000000"/>
      <name val="Arial"/>
      <scheme val="minor"/>
    </font>
    <font>
      <sz val="11"/>
      <color rgb="FF000000"/>
      <name val="&quot;Aptos Narrow&quot;"/>
    </font>
    <font>
      <sz val="10"/>
      <color theme="1"/>
      <name val="Arial"/>
      <scheme val="minor"/>
    </font>
    <font>
      <sz val="10"/>
      <color theme="1"/>
      <name val="Arial"/>
    </font>
    <font>
      <sz val="8"/>
      <name val="Arial"/>
      <family val="2"/>
      <scheme val="minor"/>
    </font>
    <font>
      <u/>
      <sz val="10"/>
      <color theme="10"/>
      <name val="Arial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</font>
    <font>
      <u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356854"/>
      </patternFill>
    </fill>
    <fill>
      <patternFill patternType="solid">
        <fgColor rgb="FFF6F8F9"/>
        <bgColor rgb="FFF6F8F9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DCA3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rgb="FFBB463C"/>
      </patternFill>
    </fill>
    <fill>
      <patternFill patternType="solid">
        <fgColor theme="4" tint="0.79998168889431442"/>
        <bgColor rgb="FFCFE2F3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2">
    <xf numFmtId="0" fontId="0" fillId="0" borderId="0" xfId="0"/>
    <xf numFmtId="0" fontId="2" fillId="4" borderId="1" xfId="0" applyFont="1" applyFill="1" applyBorder="1"/>
    <xf numFmtId="0" fontId="2" fillId="0" borderId="1" xfId="0" applyFont="1" applyBorder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6" fillId="6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8" fillId="7" borderId="2" xfId="0" applyFont="1" applyFill="1" applyBorder="1" applyAlignment="1">
      <alignment horizontal="center"/>
    </xf>
    <xf numFmtId="0" fontId="8" fillId="10" borderId="2" xfId="0" applyFon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5" borderId="2" xfId="0" applyFill="1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9" fillId="3" borderId="3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left" vertical="center"/>
    </xf>
    <xf numFmtId="0" fontId="9" fillId="9" borderId="2" xfId="0" applyFont="1" applyFill="1" applyBorder="1" applyAlignment="1">
      <alignment horizontal="left" vertical="center"/>
    </xf>
    <xf numFmtId="0" fontId="9" fillId="3" borderId="2" xfId="0" applyFont="1" applyFill="1" applyBorder="1" applyAlignment="1">
      <alignment horizontal="left" vertical="center"/>
    </xf>
    <xf numFmtId="49" fontId="7" fillId="7" borderId="6" xfId="0" applyNumberFormat="1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left" vertical="center"/>
    </xf>
    <xf numFmtId="0" fontId="10" fillId="2" borderId="13" xfId="0" applyFont="1" applyFill="1" applyBorder="1" applyAlignment="1">
      <alignment horizontal="left" vertical="center"/>
    </xf>
    <xf numFmtId="0" fontId="1" fillId="2" borderId="14" xfId="0" applyFont="1" applyFill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9" fillId="9" borderId="6" xfId="0" applyFont="1" applyFill="1" applyBorder="1" applyAlignment="1">
      <alignment horizontal="left" vertical="center"/>
    </xf>
    <xf numFmtId="0" fontId="11" fillId="9" borderId="6" xfId="0" applyFont="1" applyFill="1" applyBorder="1" applyAlignment="1">
      <alignment horizontal="left" vertical="center"/>
    </xf>
    <xf numFmtId="0" fontId="1" fillId="9" borderId="5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left" vertical="center"/>
    </xf>
    <xf numFmtId="0" fontId="11" fillId="3" borderId="6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0" fontId="10" fillId="2" borderId="6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left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left" vertical="center"/>
    </xf>
    <xf numFmtId="0" fontId="10" fillId="5" borderId="6" xfId="0" applyFont="1" applyFill="1" applyBorder="1" applyAlignment="1">
      <alignment horizontal="left" vertical="center"/>
    </xf>
    <xf numFmtId="0" fontId="9" fillId="9" borderId="5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left" vertical="center"/>
    </xf>
    <xf numFmtId="0" fontId="11" fillId="9" borderId="4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/>
    </xf>
    <xf numFmtId="0" fontId="9" fillId="9" borderId="6" xfId="0" applyFont="1" applyFill="1" applyBorder="1" applyAlignment="1">
      <alignment vertical="center"/>
    </xf>
    <xf numFmtId="21" fontId="9" fillId="9" borderId="6" xfId="0" applyNumberFormat="1" applyFont="1" applyFill="1" applyBorder="1" applyAlignment="1">
      <alignment horizontal="center" vertical="center"/>
    </xf>
    <xf numFmtId="21" fontId="9" fillId="9" borderId="5" xfId="0" applyNumberFormat="1" applyFon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1" fontId="9" fillId="3" borderId="6" xfId="0" applyNumberFormat="1" applyFont="1" applyFill="1" applyBorder="1" applyAlignment="1">
      <alignment horizontal="center" vertical="center"/>
    </xf>
    <xf numFmtId="21" fontId="9" fillId="3" borderId="5" xfId="0" applyNumberFormat="1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vertical="center"/>
    </xf>
    <xf numFmtId="21" fontId="9" fillId="3" borderId="4" xfId="0" applyNumberFormat="1" applyFont="1" applyFill="1" applyBorder="1" applyAlignment="1">
      <alignment horizontal="center" vertical="center"/>
    </xf>
    <xf numFmtId="21" fontId="9" fillId="3" borderId="2" xfId="0" applyNumberFormat="1" applyFont="1" applyFill="1" applyBorder="1" applyAlignment="1">
      <alignment horizontal="center" vertical="center"/>
    </xf>
    <xf numFmtId="0" fontId="8" fillId="0" borderId="2" xfId="0" applyFont="1" applyBorder="1"/>
    <xf numFmtId="0" fontId="5" fillId="0" borderId="2" xfId="1" applyBorder="1"/>
    <xf numFmtId="0" fontId="8" fillId="11" borderId="2" xfId="0" applyFont="1" applyFill="1" applyBorder="1" applyAlignment="1">
      <alignment horizontal="center"/>
    </xf>
    <xf numFmtId="0" fontId="8" fillId="1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vertical="center"/>
    </xf>
    <xf numFmtId="21" fontId="9" fillId="3" borderId="11" xfId="0" applyNumberFormat="1" applyFont="1" applyFill="1" applyBorder="1" applyAlignment="1">
      <alignment horizontal="center" vertical="center"/>
    </xf>
    <xf numFmtId="21" fontId="9" fillId="3" borderId="10" xfId="0" applyNumberFormat="1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/>
    </xf>
    <xf numFmtId="49" fontId="6" fillId="18" borderId="7" xfId="0" applyNumberFormat="1" applyFont="1" applyFill="1" applyBorder="1" applyAlignment="1">
      <alignment horizontal="center" vertical="center"/>
    </xf>
    <xf numFmtId="49" fontId="6" fillId="18" borderId="8" xfId="0" applyNumberFormat="1" applyFont="1" applyFill="1" applyBorder="1" applyAlignment="1">
      <alignment horizontal="center" vertical="center"/>
    </xf>
    <xf numFmtId="49" fontId="6" fillId="18" borderId="9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9" fillId="0" borderId="3" xfId="0" applyFont="1" applyFill="1" applyBorder="1" applyAlignment="1">
      <alignment horizontal="center"/>
    </xf>
    <xf numFmtId="0" fontId="2" fillId="4" borderId="15" xfId="0" applyFont="1" applyFill="1" applyBorder="1"/>
    <xf numFmtId="0" fontId="11" fillId="0" borderId="2" xfId="0" applyFont="1" applyBorder="1" applyAlignment="1">
      <alignment horizontal="center"/>
    </xf>
    <xf numFmtId="49" fontId="6" fillId="18" borderId="12" xfId="0" applyNumberFormat="1" applyFont="1" applyFill="1" applyBorder="1" applyAlignment="1">
      <alignment horizontal="center" vertical="center"/>
    </xf>
    <xf numFmtId="0" fontId="9" fillId="19" borderId="2" xfId="0" applyFont="1" applyFill="1" applyBorder="1" applyAlignment="1">
      <alignment horizontal="center"/>
    </xf>
    <xf numFmtId="0" fontId="9" fillId="19" borderId="3" xfId="0" applyFont="1" applyFill="1" applyBorder="1" applyAlignment="1">
      <alignment horizontal="center"/>
    </xf>
    <xf numFmtId="0" fontId="9" fillId="17" borderId="2" xfId="0" applyFont="1" applyFill="1" applyBorder="1" applyAlignment="1">
      <alignment horizontal="center"/>
    </xf>
    <xf numFmtId="0" fontId="9" fillId="17" borderId="3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12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3">
    <tableStyle name="Lista de Sucursales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Distancias de Farmacias Vecinas-style" pivot="0" count="4" xr9:uid="{00000000-0011-0000-FFFF-FFFF01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Distancias de Ubicaciones Candi-style" pivot="0" count="4" xr9:uid="{00000000-0011-0000-FFFF-FFFF02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mruColors>
      <color rgb="FFDCA3FF"/>
      <color rgb="FFC46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762000</xdr:colOff>
      <xdr:row>16</xdr:row>
      <xdr:rowOff>17515</xdr:rowOff>
    </xdr:from>
    <xdr:to>
      <xdr:col>8</xdr:col>
      <xdr:colOff>0</xdr:colOff>
      <xdr:row>36</xdr:row>
      <xdr:rowOff>11817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63D99DE-58CD-DC13-9D00-919A1CEE10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57268" y="2768149"/>
          <a:ext cx="3695391" cy="3376839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maps/place/Planta+Bloques+Nueva/data=!4m2!3m1!19sChIJ77bBUwBDZo8R24GMMcPfP3o" TargetMode="External"/><Relationship Id="rId2" Type="http://schemas.openxmlformats.org/officeDocument/2006/relationships/hyperlink" Target="https://www.google.com/maps/place/Barrio+Los+Andes/data=!4m2!3m1!19sChIJUxKnNWpbZo8RTeqy00Z2UZc" TargetMode="External"/><Relationship Id="rId1" Type="http://schemas.openxmlformats.org/officeDocument/2006/relationships/hyperlink" Target="https://www.google.com/maps/place/105+Brigada/data=!4m2!3m1!19sChIJaWX_mz5bZo8RlKia7t3EtxM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place/Sim%C3%A1n+%E2%80%A2+4ta.+Calle+-+Blv.+Juan+Pablo+II/data=!4m2!3m1!19sChIJu33PuQFbZo8Rc9xHpZUfBGg" TargetMode="External"/><Relationship Id="rId18" Type="http://schemas.openxmlformats.org/officeDocument/2006/relationships/hyperlink" Target="https://www.google.com/maps/place/Sim%C3%A1n+%E2%80%A2+Calpules/data=!4m2!3m1!19sChIJZZJuvHdDZo8RQUafYDFT4Tc" TargetMode="External"/><Relationship Id="rId26" Type="http://schemas.openxmlformats.org/officeDocument/2006/relationships/hyperlink" Target="https://www.google.com/maps/place/Sim%C3%A1n+%E2%80%A2+Colonial+%231/data=!4m2!3m1!19sChIJCzL1tUdbZo8RVcxldgcAQaI" TargetMode="External"/><Relationship Id="rId39" Type="http://schemas.openxmlformats.org/officeDocument/2006/relationships/hyperlink" Target="https://www.google.com/maps/place/Sim%C3%A1n+%E2%80%A2+Los+Andes/data=!4m2!3m1!19sChIJq1RBZT9bZo8RexaiwSbcyLU" TargetMode="External"/><Relationship Id="rId21" Type="http://schemas.openxmlformats.org/officeDocument/2006/relationships/hyperlink" Target="https://www.google.com/maps/place/Sim%C3%A1n+%E2%80%A2+Cemesa+-+Frente+a+Cl%C3%ADnica+Cemesa/data=!4m2!3m1!19sChIJ1XKI755cZo8R-p1wrKtInJQ" TargetMode="External"/><Relationship Id="rId34" Type="http://schemas.openxmlformats.org/officeDocument/2006/relationships/hyperlink" Target="https://www.google.com/maps/place/Sim%C3%A1n+%E2%80%A2+Hospital+del+Valle/data=!4m2!3m1!19sChIJ8a1obSpbZo8RAmGvdskLhwU" TargetMode="External"/><Relationship Id="rId42" Type="http://schemas.openxmlformats.org/officeDocument/2006/relationships/hyperlink" Target="https://www.google.com/maps/place/Sim%C3%A1n+%E2%80%A2+Multiplaza/data=!4m2!3m1!19sChIJjykA3C5bZo8Rq0rvKBycRx0" TargetMode="External"/><Relationship Id="rId47" Type="http://schemas.openxmlformats.org/officeDocument/2006/relationships/hyperlink" Target="https://www.google.com/maps/place/Sim%C3%A1n+%E2%80%A2+Plaza+Numa+-+Blv.+Mackay/data=!4m2!3m1!19sChIJU911i-pbZo8RWmSIOcq1bQo" TargetMode="External"/><Relationship Id="rId50" Type="http://schemas.openxmlformats.org/officeDocument/2006/relationships/hyperlink" Target="https://www.google.com/maps/place/Sim%C3%A1n+%E2%80%A2+R%C3%ADo+de+Piedras/data=!4m2!3m1!19sChIJP8sXDGVbZo8RHobPgwOpAuQ" TargetMode="External"/><Relationship Id="rId55" Type="http://schemas.openxmlformats.org/officeDocument/2006/relationships/hyperlink" Target="https://www.google.com/maps/place/Sim%C3%A1n+%E2%80%A2+Tara/data=!4m2!3m1!19sChIJ71TLedNaZo8RtpMY0498I94" TargetMode="External"/><Relationship Id="rId63" Type="http://schemas.openxmlformats.org/officeDocument/2006/relationships/hyperlink" Target="https://www.google.com/maps/place/Sim%C3%A1n+%E2%80%A2+Villa+Ol%C3%ADmpica/data=!4m2!3m1!19sChIJmfS9h6ZDZo8R0s99bjvOWmI" TargetMode="External"/><Relationship Id="rId7" Type="http://schemas.openxmlformats.org/officeDocument/2006/relationships/hyperlink" Target="https://www.google.com/maps/place/Siman+Rancho+el+coco/data=!4m2!3m1!19sChIJIZvfYQBbZo8RTlm-tSwrUrg" TargetMode="External"/><Relationship Id="rId2" Type="http://schemas.openxmlformats.org/officeDocument/2006/relationships/hyperlink" Target="https://www.google.com/maps/place/Sim%C3%A1n+%E2%80%A2+Barandillas/data=!4m2!3m1!19sChIJD62zzzBbZo8RAHdGDUD6QrE" TargetMode="External"/><Relationship Id="rId16" Type="http://schemas.openxmlformats.org/officeDocument/2006/relationships/hyperlink" Target="https://www.google.com/maps/place/Sim%C3%A1n+%E2%80%A2+Benda%C3%B1a+-+Dentro+de+Hospital+Benda%C3%B1a/data=!4m2!3m1!19sChIJ7fdjUWRbZo8RA8yRjINmprs" TargetMode="External"/><Relationship Id="rId29" Type="http://schemas.openxmlformats.org/officeDocument/2006/relationships/hyperlink" Target="https://www.google.com/maps/place/Sim%C3%A1n+%E2%80%A2+El+Pedregal/data=!4m2!3m1!19sChIJmaYRKhFbZo8RHKVFrchOp9g" TargetMode="External"/><Relationship Id="rId11" Type="http://schemas.openxmlformats.org/officeDocument/2006/relationships/hyperlink" Target="https://www.google.com/maps/place/Sim%C3%A1n+%E2%80%A2+2do+Anillo/data=!4m2!3m1!19sChIJC0neAQBFZo8RD3nmCXhk99k" TargetMode="External"/><Relationship Id="rId24" Type="http://schemas.openxmlformats.org/officeDocument/2006/relationships/hyperlink" Target="https://www.google.com/maps/place/Sim%C3%A1n+%E2%80%A2+Plaza+Moderna/data=!4m2!3m1!19sChIJ_VCOPZ9bZo8R77-Gb8d7v3g" TargetMode="External"/><Relationship Id="rId32" Type="http://schemas.openxmlformats.org/officeDocument/2006/relationships/hyperlink" Target="https://www.google.com/maps/place/Sim%C3%A1n+%E2%80%A2+Mall+Galer%C3%ADas/data=!4m2!3m1!19sChIJPWwaN3VbZo8RXgenCTNhfDU" TargetMode="External"/><Relationship Id="rId37" Type="http://schemas.openxmlformats.org/officeDocument/2006/relationships/hyperlink" Target="https://www.google.com/maps/place/Sim%C3%A1n+%E2%80%A2+Las+Palmas+-+Frente+a+Grupo+Aire/data=!4m2!3m1!19sChIJbxPbFO1dZo8R-zpQRm8maP4" TargetMode="External"/><Relationship Id="rId40" Type="http://schemas.openxmlformats.org/officeDocument/2006/relationships/hyperlink" Target="https://www.google.com/maps/place/Sim%C3%A1n+%E2%80%A2+Luisiana/data=!4m2!3m1!19sChIJG_LSSEZDZo8Rt-3Cyj6Q5nw" TargetMode="External"/><Relationship Id="rId45" Type="http://schemas.openxmlformats.org/officeDocument/2006/relationships/hyperlink" Target="https://www.google.com/maps/place/Farmacia+Sim%C3%A1n+%E2%80%A2+Plaza+Geo+Sur/data=!4m2!3m1!19sChIJXXyH5GBbZo8R1cXTKRnJSKU" TargetMode="External"/><Relationship Id="rId53" Type="http://schemas.openxmlformats.org/officeDocument/2006/relationships/hyperlink" Target="https://www.google.com/maps/place/Sim%C3%A1n+%E2%80%A2+Plaza+Santa+Martha/data=!4m2!3m1!19sChIJn52CAylFZo8RluReuvXMLns" TargetMode="External"/><Relationship Id="rId58" Type="http://schemas.openxmlformats.org/officeDocument/2006/relationships/hyperlink" Target="https://www.google.com/maps/place/Sim%C3%A1n+%E2%80%A2+Zer%C3%B3n/data=!4m2!3m1!19sChIJ4Zf-QG1bZo8Ro7w0gwVrIyk" TargetMode="External"/><Relationship Id="rId5" Type="http://schemas.openxmlformats.org/officeDocument/2006/relationships/hyperlink" Target="https://www.google.com/maps/place/Sim%C3%A1n+%E2%80%A2+El+Roble+-+Plaza+Bogr%C3%A1n/data=!4m2!3m1!19sChIJGSzi2ANFZo8RBrDv6JD_rpA" TargetMode="External"/><Relationship Id="rId61" Type="http://schemas.openxmlformats.org/officeDocument/2006/relationships/hyperlink" Target="https://www.google.com/maps/place/S%C3%BAper+Farmacia+Sim%C3%A1n/data=!4m2!3m1!19sChIJA2bOr1xbZo8RUzMpjV5wrf0" TargetMode="External"/><Relationship Id="rId19" Type="http://schemas.openxmlformats.org/officeDocument/2006/relationships/hyperlink" Target="https://www.google.com/maps/place/Plaza+JOGAR/data=!4m2!3m1!19sChIJnaWZTQBDZo8R1p3eORnAuq4" TargetMode="External"/><Relationship Id="rId14" Type="http://schemas.openxmlformats.org/officeDocument/2006/relationships/hyperlink" Target="https://www.google.com/maps/place/Sim%C3%A1n+%E2%80%A2+Texaco+Arenales/data=!4m2!3m1!19sChIJRQxH6CJDZo8RFENwu5a9Nqg" TargetMode="External"/><Relationship Id="rId22" Type="http://schemas.openxmlformats.org/officeDocument/2006/relationships/hyperlink" Target="https://www.google.com/maps/place/Sim%C3%A1n+%E2%80%A2+Chamelec%C3%B3n/data=!4m2!3m1!19sChIJXzypYTBdZo8RbhDjpq-y0R4" TargetMode="External"/><Relationship Id="rId27" Type="http://schemas.openxmlformats.org/officeDocument/2006/relationships/hyperlink" Target="https://www.google.com/maps/place/Sim%C3%A1n+%E2%80%A2+Supermercado+Colonial+02+-+Blv.+del+Norte/data=!4m2!3m1!19sChIJ-6iOmSFFZo8Rt0RQ3tf7XqY" TargetMode="External"/><Relationship Id="rId30" Type="http://schemas.openxmlformats.org/officeDocument/2006/relationships/hyperlink" Target="https://www.google.com/maps/place/Sim%C3%A1n+%E2%80%A2+El+Pedregal/data=!4m2!3m1!19sChIJmaYRKhFbZo8RHKVFrchOp9g" TargetMode="External"/><Relationship Id="rId35" Type="http://schemas.openxmlformats.org/officeDocument/2006/relationships/hyperlink" Target="https://www.google.com/maps/place/Sim%C3%A1n+%E2%80%A2+Plaza+Ivihsa/data=!4m2!3m1!19sChIJP8gIBQBFZo8RjprJ5DBrX0w" TargetMode="External"/><Relationship Id="rId43" Type="http://schemas.openxmlformats.org/officeDocument/2006/relationships/hyperlink" Target="https://www.google.com/maps/place/Sim%C3%A1n+%E2%80%A2+Medina+-+Farmaplus/data=!4m2!3m1!19sChIJO7M8hV5bZo8RnGOKJuWou94" TargetMode="External"/><Relationship Id="rId48" Type="http://schemas.openxmlformats.org/officeDocument/2006/relationships/hyperlink" Target="https://www.google.com/maps/place/Sim%C3%A1n+%E2%80%A2+Plaza+Vicay/data=!4m2!3m1!19sChIJFT98ltpDZo8RZY1EEhlm4ns" TargetMode="External"/><Relationship Id="rId56" Type="http://schemas.openxmlformats.org/officeDocument/2006/relationships/hyperlink" Target="https://www.google.com/maps/place/Sim%C3%A1n+%E2%80%A2+Trejo+-+Frente+a+Terravista+Plaza/data=!4m2!3m1!19sChIJI3nbsQNbZo8RBIXuZkMpq_k" TargetMode="External"/><Relationship Id="rId8" Type="http://schemas.openxmlformats.org/officeDocument/2006/relationships/hyperlink" Target="https://www.google.com/maps/place/Sim%C3%A1n+%E2%80%A2+Plaza+Prisma/data=!4m2!3m1!19sChIJf6ibIgBFZo8RByeKQhrzJ9o" TargetMode="External"/><Relationship Id="rId51" Type="http://schemas.openxmlformats.org/officeDocument/2006/relationships/hyperlink" Target="https://www.google.com/maps/place/Sim%C3%A1n+%E2%80%A2+Salamanca/data=!4m2!3m1!19sChIJbYBDoHFFZo8RznD_k2zP4As" TargetMode="External"/><Relationship Id="rId3" Type="http://schemas.openxmlformats.org/officeDocument/2006/relationships/hyperlink" Target="https://www.google.com/maps/place/Sim%C3%A1n+%E2%80%A2+Bulevar+del+Este+%231/data=!4m2!3m1!19sChIJNa_rpmlbZo8RJV5Q-RnD9io" TargetMode="External"/><Relationship Id="rId12" Type="http://schemas.openxmlformats.org/officeDocument/2006/relationships/hyperlink" Target="https://www.google.com/maps/place/Sim%C3%A1n+%E2%80%A2+3+Ave.+-+Centro+SPS/data=!4m2!3m1!19sChIJP2AYxmFbZo8RX9aw4xj2Ccs" TargetMode="External"/><Relationship Id="rId17" Type="http://schemas.openxmlformats.org/officeDocument/2006/relationships/hyperlink" Target="https://www.google.com/maps/place/Sim%C3%A1n+%E2%80%A2+Bulevar+del+Norte+-+Contiguo+a+Centro+Cer%C3%A1micas/data=!4m2!3m1!19sChIJMQaZNZFbZo8RiE-dm37jNFQ" TargetMode="External"/><Relationship Id="rId25" Type="http://schemas.openxmlformats.org/officeDocument/2006/relationships/hyperlink" Target="https://www.google.com/maps/place/Sim%C3%A1n+%E2%80%A2+City+Mall+%2301+-+SPS/data=!4m2!3m1!19sChIJR3Jblb5bZo8RcR8J2mMzpCg" TargetMode="External"/><Relationship Id="rId33" Type="http://schemas.openxmlformats.org/officeDocument/2006/relationships/hyperlink" Target="https://www.google.com/maps/place/Sim%C3%A1n+%E2%80%A2+Supermercado+Walmart/data=!4m2!3m1!19sChIJpdUAiZ5bZo8Rjal0qi2TzsU" TargetMode="External"/><Relationship Id="rId38" Type="http://schemas.openxmlformats.org/officeDocument/2006/relationships/hyperlink" Target="https://www.google.com/maps/place/Sim%C3%A1n+%E2%80%A2+Los+%C3%81lamos/data=!4m2!3m1!19sChIJQYFlESJFZo8Ra2LI6DZJwYY" TargetMode="External"/><Relationship Id="rId46" Type="http://schemas.openxmlformats.org/officeDocument/2006/relationships/hyperlink" Target="https://www.google.com/maps/place/Sim%C3%A1n+%E2%80%A2+Plaza+Isabella/data=!4m2!3m1!19sChIJ_ZeVRqdcZo8Re5CkeJRW0wE" TargetMode="External"/><Relationship Id="rId59" Type="http://schemas.openxmlformats.org/officeDocument/2006/relationships/hyperlink" Target="https://www.google.com/maps/place/Sim%C3%A1n+%E2%80%A2+ZIP+San+Jos%C3%A9/data=!4m2!3m1!19sChIJS2agEKJDZo8RCOkwOqMOpdA" TargetMode="External"/><Relationship Id="rId20" Type="http://schemas.openxmlformats.org/officeDocument/2006/relationships/hyperlink" Target="https://www.google.com/maps/place/Sim%C3%A1n+%E2%80%A2+Catarino/data=!4m2!3m1!19sChIJxR__kaBbZo8R_SSrshrEa70" TargetMode="External"/><Relationship Id="rId41" Type="http://schemas.openxmlformats.org/officeDocument/2006/relationships/hyperlink" Target="https://www.google.com/maps/place/Sim%C3%A1n+%E2%80%A2+Altara/data=!4m2!3m1!19sChIJ28ctAbhaZo8R8gAppnpmYEw" TargetMode="External"/><Relationship Id="rId54" Type="http://schemas.openxmlformats.org/officeDocument/2006/relationships/hyperlink" Target="https://www.google.com/maps/place/Sim%C3%A1n+%E2%80%A2+Stibys/data=!4m2!3m1!19sChIJWRt_YEdbZo8RSgvOGdKGIWk" TargetMode="External"/><Relationship Id="rId62" Type="http://schemas.openxmlformats.org/officeDocument/2006/relationships/hyperlink" Target="https://www.google.com/maps/place/Sim%C3%A1n+%E2%80%A2+Town+Center/data=!4m2!3m1!19sChIJwWFYmqZFZo8RLeJXSrB8J-Y" TargetMode="External"/><Relationship Id="rId1" Type="http://schemas.openxmlformats.org/officeDocument/2006/relationships/hyperlink" Target="https://www.google.com/maps/place/Sim%C3%A1n+%E2%80%A2+33+Calle+Col.+Guill%C3%A9n/data=!4m2!3m1!19sChIJieBnRABDZo8RS4xo_Rs7IvE" TargetMode="External"/><Relationship Id="rId6" Type="http://schemas.openxmlformats.org/officeDocument/2006/relationships/hyperlink" Target="https://www.google.com/maps/place/Farmacia+Sim%C3%A1n+%E2%80%A2+Plaza+Carolina/data=!4m2!3m1!19sChIJhfpOEopbZo8RTihUnwDJSq0" TargetMode="External"/><Relationship Id="rId15" Type="http://schemas.openxmlformats.org/officeDocument/2006/relationships/hyperlink" Target="https://www.google.com/maps/place/Sim%C3%A1n+%E2%80%A2+Avenida+Junior/data=!4m2!3m1!19sChIJp3KTxXJbZo8RrFjz_aemP30" TargetMode="External"/><Relationship Id="rId23" Type="http://schemas.openxmlformats.org/officeDocument/2006/relationships/hyperlink" Target="https://www.google.com/maps/place/Sim%C3%A1n+%E2%80%A2+Circunvalaci%C3%B3n/data=!4m2!3m1!19sChIJn_FUiGVbZo8RhlHY2I1TiLo" TargetMode="External"/><Relationship Id="rId28" Type="http://schemas.openxmlformats.org/officeDocument/2006/relationships/hyperlink" Target="https://www.google.com/maps/place/Sim%C3%A1n+%E2%80%A2+Dentro+de+Supermercado+Colonial+%233+Salida+a+la+Lima/data=!4m2!3m1!19sChIJfVTO6spFZo8Ri8LBCkJEGMg" TargetMode="External"/><Relationship Id="rId36" Type="http://schemas.openxmlformats.org/officeDocument/2006/relationships/hyperlink" Target="https://www.google.com/maps/place/Sim%C3%A1n+%E2%80%A2+Jardines+-+Contiguo+a+Denny's/data=!4m2!3m1!19sChIJ8TZggCNbZo8RwUfvjWqYD_I" TargetMode="External"/><Relationship Id="rId49" Type="http://schemas.openxmlformats.org/officeDocument/2006/relationships/hyperlink" Target="https://www.google.com/maps/place/Sim%C3%A1n+%E2%80%A2+Pradera/data=!4m2!3m1!19sChIJbTfnKEJDZo8REdL_9bRJJnc" TargetMode="External"/><Relationship Id="rId57" Type="http://schemas.openxmlformats.org/officeDocument/2006/relationships/hyperlink" Target="https://www.google.com/maps/place/Sim%C3%A1n+%E2%80%A2+Blv.+Mackay/data=!4m2!3m1!19sChIJF_NhC-ZaZo8RzfA0U7Y3TsI" TargetMode="External"/><Relationship Id="rId10" Type="http://schemas.openxmlformats.org/officeDocument/2006/relationships/hyperlink" Target="https://www.google.com/maps/place/Sim%C3%A1n+%E2%80%A2+20+Calle+-+a+una+Cuadra+de+Pollo+Gol/data=!4m2!3m1!19sChIJx8-TT6lcZo8R12QNIIRmQXE" TargetMode="External"/><Relationship Id="rId31" Type="http://schemas.openxmlformats.org/officeDocument/2006/relationships/hyperlink" Target="https://www.google.com/maps/place/Sim%C3%A1n+%E2%80%A2+Express/data=!4m2!3m1!19sChIJy6uCYRtbZo8Rr_E9hzFXKAo" TargetMode="External"/><Relationship Id="rId44" Type="http://schemas.openxmlformats.org/officeDocument/2006/relationships/hyperlink" Target="https://www.google.com/maps/place/Sim%C3%A1n+%E2%80%A2+Mega+Mall/data=!4m2!3m1!19sChIJy0-74LFEZo8RVeR2QYdeaPo" TargetMode="External"/><Relationship Id="rId52" Type="http://schemas.openxmlformats.org/officeDocument/2006/relationships/hyperlink" Target="https://www.google.com/maps/place/Sim%C3%A1n+%E2%80%A2+Salida+a+La+Lima/data=!4m2!3m1!19sChIJ9dEXnrJEZo8R4J1EXuwv1lk" TargetMode="External"/><Relationship Id="rId60" Type="http://schemas.openxmlformats.org/officeDocument/2006/relationships/hyperlink" Target="https://www.google.com/maps/place/Sim%C3%A1n+%E2%80%A2+Jucutuma/data=!4m2!3m1!19sChIJ_ycbq15HZo8RIPOYgsFYiCA" TargetMode="External"/><Relationship Id="rId4" Type="http://schemas.openxmlformats.org/officeDocument/2006/relationships/hyperlink" Target="https://www.google.com/maps/place/Sim%C3%A1n+%E2%80%A2+Texaco+Aurora/data=!4m2!3m1!19sChIJ5Z53UwBFZo8RQyLhsCqLsoo" TargetMode="External"/><Relationship Id="rId9" Type="http://schemas.openxmlformats.org/officeDocument/2006/relationships/hyperlink" Target="https://www.google.com/maps/place/Sim%C3%A1n+%E2%80%A2+13+Calle+-+Ave.+Juan+Pablo+2do./data=!4m2!3m1!19sChIJixqV41VbZo8Rt4GIA7-z7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000"/>
  <sheetViews>
    <sheetView zoomScaleNormal="100" workbookViewId="0">
      <pane ySplit="1" topLeftCell="A2" activePane="bottomLeft" state="frozen"/>
      <selection pane="bottomLeft" activeCell="B6" sqref="B6"/>
    </sheetView>
  </sheetViews>
  <sheetFormatPr baseColWidth="10" defaultColWidth="12.6328125" defaultRowHeight="15.75" customHeight="1"/>
  <cols>
    <col min="1" max="1" width="12.453125" bestFit="1" customWidth="1"/>
    <col min="2" max="2" width="44" customWidth="1"/>
    <col min="3" max="3" width="106.6328125" customWidth="1"/>
    <col min="4" max="4" width="23.7265625" customWidth="1"/>
    <col min="5" max="5" width="21.36328125" customWidth="1"/>
    <col min="7" max="7" width="9.7265625" customWidth="1"/>
    <col min="8" max="8" width="44" customWidth="1"/>
    <col min="9" max="9" width="51.08984375" customWidth="1"/>
    <col min="10" max="10" width="24" customWidth="1"/>
    <col min="11" max="11" width="21.08984375" customWidth="1"/>
    <col min="12" max="12" width="22.6328125" customWidth="1"/>
    <col min="14" max="15" width="13.26953125" customWidth="1"/>
    <col min="16" max="16" width="14.453125" customWidth="1"/>
    <col min="17" max="17" width="13.6328125" customWidth="1"/>
  </cols>
  <sheetData>
    <row r="1" spans="1:5" ht="25.5" customHeight="1" thickBot="1">
      <c r="A1" s="7" t="s">
        <v>0</v>
      </c>
      <c r="B1" s="8" t="s">
        <v>8</v>
      </c>
      <c r="C1" s="8" t="s">
        <v>10</v>
      </c>
      <c r="D1" s="8" t="s">
        <v>11</v>
      </c>
      <c r="E1" s="9" t="s">
        <v>12</v>
      </c>
    </row>
    <row r="2" spans="1:5" ht="16" customHeight="1">
      <c r="A2" s="75">
        <v>1</v>
      </c>
      <c r="B2" s="76" t="s">
        <v>13</v>
      </c>
      <c r="C2" s="76" t="s">
        <v>15</v>
      </c>
      <c r="D2" s="77">
        <v>0.29166666666666669</v>
      </c>
      <c r="E2" s="78">
        <v>0.91666666666666663</v>
      </c>
    </row>
    <row r="3" spans="1:5" ht="16" customHeight="1">
      <c r="A3" s="31">
        <v>2</v>
      </c>
      <c r="B3" s="57" t="s">
        <v>16</v>
      </c>
      <c r="C3" s="57" t="s">
        <v>17</v>
      </c>
      <c r="D3" s="58">
        <v>0.29166666666666669</v>
      </c>
      <c r="E3" s="59">
        <v>0.91666666666666663</v>
      </c>
    </row>
    <row r="4" spans="1:5" ht="16" customHeight="1">
      <c r="A4" s="35">
        <v>3</v>
      </c>
      <c r="B4" s="60" t="s">
        <v>18</v>
      </c>
      <c r="C4" s="60" t="s">
        <v>20</v>
      </c>
      <c r="D4" s="61">
        <v>0.29166666666666669</v>
      </c>
      <c r="E4" s="62">
        <v>0.91666666666666663</v>
      </c>
    </row>
    <row r="5" spans="1:5" ht="16" customHeight="1">
      <c r="A5" s="31">
        <v>4</v>
      </c>
      <c r="B5" s="57" t="s">
        <v>23</v>
      </c>
      <c r="C5" s="57" t="s">
        <v>24</v>
      </c>
      <c r="D5" s="58">
        <v>0.29166666666666669</v>
      </c>
      <c r="E5" s="59">
        <v>0.91666666666666663</v>
      </c>
    </row>
    <row r="6" spans="1:5" ht="16" customHeight="1">
      <c r="A6" s="35">
        <v>5</v>
      </c>
      <c r="B6" s="60" t="s">
        <v>25</v>
      </c>
      <c r="C6" s="60" t="s">
        <v>26</v>
      </c>
      <c r="D6" s="61">
        <v>0.29166666666666669</v>
      </c>
      <c r="E6" s="62">
        <v>0.91666666666666663</v>
      </c>
    </row>
    <row r="7" spans="1:5" ht="16" customHeight="1">
      <c r="A7" s="31">
        <v>6</v>
      </c>
      <c r="B7" s="57" t="s">
        <v>27</v>
      </c>
      <c r="C7" s="57" t="s">
        <v>28</v>
      </c>
      <c r="D7" s="58">
        <v>0.29166666666666669</v>
      </c>
      <c r="E7" s="59">
        <v>0.91666666666666663</v>
      </c>
    </row>
    <row r="8" spans="1:5" ht="16" customHeight="1">
      <c r="A8" s="35">
        <v>7</v>
      </c>
      <c r="B8" s="60" t="s">
        <v>29</v>
      </c>
      <c r="C8" s="60" t="s">
        <v>30</v>
      </c>
      <c r="D8" s="61">
        <v>0.29166666666666669</v>
      </c>
      <c r="E8" s="62">
        <v>0.83333333333333337</v>
      </c>
    </row>
    <row r="9" spans="1:5" ht="16" customHeight="1">
      <c r="A9" s="31">
        <v>8</v>
      </c>
      <c r="B9" s="57" t="s">
        <v>31</v>
      </c>
      <c r="C9" s="57" t="s">
        <v>32</v>
      </c>
      <c r="D9" s="58">
        <v>0.29166666666666669</v>
      </c>
      <c r="E9" s="59">
        <v>0.91666666666666663</v>
      </c>
    </row>
    <row r="10" spans="1:5" ht="16" customHeight="1">
      <c r="A10" s="35">
        <v>9</v>
      </c>
      <c r="B10" s="60" t="s">
        <v>35</v>
      </c>
      <c r="C10" s="60" t="s">
        <v>37</v>
      </c>
      <c r="D10" s="61">
        <v>0.29166666666666669</v>
      </c>
      <c r="E10" s="62">
        <v>0.91666666666666663</v>
      </c>
    </row>
    <row r="11" spans="1:5" ht="16" customHeight="1">
      <c r="A11" s="31">
        <v>10</v>
      </c>
      <c r="B11" s="57" t="s">
        <v>38</v>
      </c>
      <c r="C11" s="57" t="s">
        <v>39</v>
      </c>
      <c r="D11" s="58">
        <v>0.29166666666666669</v>
      </c>
      <c r="E11" s="59">
        <v>0.91666666666666663</v>
      </c>
    </row>
    <row r="12" spans="1:5" ht="16" customHeight="1">
      <c r="A12" s="35">
        <v>11</v>
      </c>
      <c r="B12" s="60" t="s">
        <v>41</v>
      </c>
      <c r="C12" s="60" t="s">
        <v>42</v>
      </c>
      <c r="D12" s="61">
        <v>0.29166666666666669</v>
      </c>
      <c r="E12" s="62">
        <v>0.91666666666666663</v>
      </c>
    </row>
    <row r="13" spans="1:5" ht="16" customHeight="1">
      <c r="A13" s="31">
        <v>12</v>
      </c>
      <c r="B13" s="57" t="s">
        <v>44</v>
      </c>
      <c r="C13" s="57" t="s">
        <v>45</v>
      </c>
      <c r="D13" s="58">
        <v>0.29166666666666669</v>
      </c>
      <c r="E13" s="59">
        <v>0.75</v>
      </c>
    </row>
    <row r="14" spans="1:5" ht="16" customHeight="1">
      <c r="A14" s="35">
        <v>13</v>
      </c>
      <c r="B14" s="60" t="s">
        <v>47</v>
      </c>
      <c r="C14" s="60" t="s">
        <v>48</v>
      </c>
      <c r="D14" s="61">
        <v>0.29166666666666669</v>
      </c>
      <c r="E14" s="62">
        <v>0.91666666666666663</v>
      </c>
    </row>
    <row r="15" spans="1:5" ht="16" customHeight="1">
      <c r="A15" s="31">
        <v>14</v>
      </c>
      <c r="B15" s="57" t="s">
        <v>49</v>
      </c>
      <c r="C15" s="57" t="s">
        <v>50</v>
      </c>
      <c r="D15" s="58">
        <v>0.29166666666666669</v>
      </c>
      <c r="E15" s="59">
        <v>0.91666666666666663</v>
      </c>
    </row>
    <row r="16" spans="1:5" ht="16" customHeight="1">
      <c r="A16" s="35">
        <v>15</v>
      </c>
      <c r="B16" s="60" t="s">
        <v>46</v>
      </c>
      <c r="C16" s="60" t="s">
        <v>51</v>
      </c>
      <c r="D16" s="61">
        <v>0.29166666666666669</v>
      </c>
      <c r="E16" s="62">
        <v>0</v>
      </c>
    </row>
    <row r="17" spans="1:5" ht="16" customHeight="1">
      <c r="A17" s="31">
        <v>16</v>
      </c>
      <c r="B17" s="57" t="s">
        <v>53</v>
      </c>
      <c r="C17" s="57" t="s">
        <v>53</v>
      </c>
      <c r="D17" s="58">
        <v>0.29166666666666669</v>
      </c>
      <c r="E17" s="59">
        <v>0.91666666666666663</v>
      </c>
    </row>
    <row r="18" spans="1:5" ht="16" customHeight="1">
      <c r="A18" s="35">
        <v>17</v>
      </c>
      <c r="B18" s="60" t="s">
        <v>55</v>
      </c>
      <c r="C18" s="60" t="s">
        <v>56</v>
      </c>
      <c r="D18" s="61">
        <v>0.29166666666666669</v>
      </c>
      <c r="E18" s="62">
        <v>0.91666666666666663</v>
      </c>
    </row>
    <row r="19" spans="1:5" ht="16" customHeight="1">
      <c r="A19" s="31">
        <v>18</v>
      </c>
      <c r="B19" s="57" t="s">
        <v>57</v>
      </c>
      <c r="C19" s="57" t="s">
        <v>58</v>
      </c>
      <c r="D19" s="58">
        <v>0.29166666666666669</v>
      </c>
      <c r="E19" s="59">
        <v>0.91666666666666663</v>
      </c>
    </row>
    <row r="20" spans="1:5" ht="16" customHeight="1">
      <c r="A20" s="35">
        <v>19</v>
      </c>
      <c r="B20" s="60" t="s">
        <v>59</v>
      </c>
      <c r="C20" s="60" t="s">
        <v>60</v>
      </c>
      <c r="D20" s="61">
        <v>0.29166666666666669</v>
      </c>
      <c r="E20" s="62">
        <v>0.91666666666666663</v>
      </c>
    </row>
    <row r="21" spans="1:5" ht="16" customHeight="1">
      <c r="A21" s="31">
        <v>20</v>
      </c>
      <c r="B21" s="57" t="s">
        <v>61</v>
      </c>
      <c r="C21" s="57" t="s">
        <v>62</v>
      </c>
      <c r="D21" s="58">
        <v>0.29166666666666669</v>
      </c>
      <c r="E21" s="59">
        <v>0.79166666666666663</v>
      </c>
    </row>
    <row r="22" spans="1:5" ht="16" customHeight="1">
      <c r="A22" s="35">
        <v>21</v>
      </c>
      <c r="B22" s="60" t="s">
        <v>63</v>
      </c>
      <c r="C22" s="60" t="s">
        <v>64</v>
      </c>
      <c r="D22" s="61">
        <v>0.27083333333333331</v>
      </c>
      <c r="E22" s="62">
        <v>0.95833333333333337</v>
      </c>
    </row>
    <row r="23" spans="1:5" ht="16" customHeight="1">
      <c r="A23" s="31">
        <v>22</v>
      </c>
      <c r="B23" s="57" t="s">
        <v>66</v>
      </c>
      <c r="C23" s="57" t="s">
        <v>67</v>
      </c>
      <c r="D23" s="58">
        <v>0.29166666666666669</v>
      </c>
      <c r="E23" s="59">
        <v>0.83333333333333337</v>
      </c>
    </row>
    <row r="24" spans="1:5" ht="16" customHeight="1">
      <c r="A24" s="35">
        <v>23</v>
      </c>
      <c r="B24" s="60" t="s">
        <v>68</v>
      </c>
      <c r="C24" s="60" t="s">
        <v>69</v>
      </c>
      <c r="D24" s="61">
        <v>0</v>
      </c>
      <c r="E24" s="62">
        <v>0.99930555555555556</v>
      </c>
    </row>
    <row r="25" spans="1:5" ht="16" customHeight="1">
      <c r="A25" s="31">
        <v>24</v>
      </c>
      <c r="B25" s="57" t="s">
        <v>70</v>
      </c>
      <c r="C25" s="57" t="s">
        <v>71</v>
      </c>
      <c r="D25" s="58">
        <v>0.33333333333333331</v>
      </c>
      <c r="E25" s="59">
        <v>0.95833333333333337</v>
      </c>
    </row>
    <row r="26" spans="1:5" ht="16" customHeight="1">
      <c r="A26" s="35">
        <v>25</v>
      </c>
      <c r="B26" s="60" t="s">
        <v>72</v>
      </c>
      <c r="C26" s="60" t="s">
        <v>73</v>
      </c>
      <c r="D26" s="61">
        <v>0.375</v>
      </c>
      <c r="E26" s="62">
        <v>0.83333333333333337</v>
      </c>
    </row>
    <row r="27" spans="1:5" ht="16" customHeight="1">
      <c r="A27" s="31">
        <v>26</v>
      </c>
      <c r="B27" s="57" t="s">
        <v>74</v>
      </c>
      <c r="C27" s="57" t="s">
        <v>75</v>
      </c>
      <c r="D27" s="58">
        <v>0.29166666666666669</v>
      </c>
      <c r="E27" s="59">
        <v>0.875</v>
      </c>
    </row>
    <row r="28" spans="1:5" ht="16" customHeight="1">
      <c r="A28" s="35">
        <v>27</v>
      </c>
      <c r="B28" s="60" t="s">
        <v>76</v>
      </c>
      <c r="C28" s="60" t="s">
        <v>77</v>
      </c>
      <c r="D28" s="61">
        <v>0.29166666666666669</v>
      </c>
      <c r="E28" s="62">
        <v>0.875</v>
      </c>
    </row>
    <row r="29" spans="1:5" ht="16" customHeight="1">
      <c r="A29" s="31">
        <v>28</v>
      </c>
      <c r="B29" s="57" t="s">
        <v>65</v>
      </c>
      <c r="C29" s="57" t="s">
        <v>78</v>
      </c>
      <c r="D29" s="58">
        <v>0.29166666666666669</v>
      </c>
      <c r="E29" s="59">
        <v>0.875</v>
      </c>
    </row>
    <row r="30" spans="1:5" ht="16" customHeight="1">
      <c r="A30" s="35">
        <v>29</v>
      </c>
      <c r="B30" s="60" t="s">
        <v>79</v>
      </c>
      <c r="C30" s="60" t="s">
        <v>80</v>
      </c>
      <c r="D30" s="61">
        <v>0.33333333333333331</v>
      </c>
      <c r="E30" s="62">
        <v>0.83333333333333337</v>
      </c>
    </row>
    <row r="31" spans="1:5" ht="16" customHeight="1">
      <c r="A31" s="31">
        <v>30</v>
      </c>
      <c r="B31" s="57" t="s">
        <v>81</v>
      </c>
      <c r="C31" s="57" t="s">
        <v>82</v>
      </c>
      <c r="D31" s="58">
        <v>0.27083333333333331</v>
      </c>
      <c r="E31" s="59">
        <v>0</v>
      </c>
    </row>
    <row r="32" spans="1:5" ht="16" customHeight="1">
      <c r="A32" s="35">
        <v>31</v>
      </c>
      <c r="B32" s="60" t="s">
        <v>84</v>
      </c>
      <c r="C32" s="60" t="s">
        <v>85</v>
      </c>
      <c r="D32" s="61">
        <v>0.29166666666666669</v>
      </c>
      <c r="E32" s="62">
        <v>0.99305555555555558</v>
      </c>
    </row>
    <row r="33" spans="1:5" ht="16" customHeight="1">
      <c r="A33" s="31">
        <v>32</v>
      </c>
      <c r="B33" s="57" t="s">
        <v>86</v>
      </c>
      <c r="C33" s="57" t="s">
        <v>87</v>
      </c>
      <c r="D33" s="58">
        <v>0.375</v>
      </c>
      <c r="E33" s="59">
        <v>0.875</v>
      </c>
    </row>
    <row r="34" spans="1:5" ht="16" customHeight="1">
      <c r="A34" s="35">
        <v>33</v>
      </c>
      <c r="B34" s="60" t="s">
        <v>88</v>
      </c>
      <c r="C34" s="60" t="s">
        <v>89</v>
      </c>
      <c r="D34" s="61">
        <v>0.33333333333333331</v>
      </c>
      <c r="E34" s="62">
        <v>0.875</v>
      </c>
    </row>
    <row r="35" spans="1:5" ht="16" customHeight="1">
      <c r="A35" s="31">
        <v>34</v>
      </c>
      <c r="B35" s="57" t="s">
        <v>90</v>
      </c>
      <c r="C35" s="57" t="s">
        <v>91</v>
      </c>
      <c r="D35" s="58">
        <v>0.27083333333333331</v>
      </c>
      <c r="E35" s="59">
        <v>0.95833333333333337</v>
      </c>
    </row>
    <row r="36" spans="1:5" ht="16" customHeight="1">
      <c r="A36" s="35">
        <v>35</v>
      </c>
      <c r="B36" s="60" t="s">
        <v>93</v>
      </c>
      <c r="C36" s="60" t="s">
        <v>94</v>
      </c>
      <c r="D36" s="61">
        <v>0.29166666666666669</v>
      </c>
      <c r="E36" s="62">
        <v>0.91666666666666663</v>
      </c>
    </row>
    <row r="37" spans="1:5" ht="16" customHeight="1">
      <c r="A37" s="31">
        <v>36</v>
      </c>
      <c r="B37" s="57" t="s">
        <v>97</v>
      </c>
      <c r="C37" s="57" t="s">
        <v>98</v>
      </c>
      <c r="D37" s="58">
        <v>0.27083333333333331</v>
      </c>
      <c r="E37" s="59">
        <v>0.95833333333333337</v>
      </c>
    </row>
    <row r="38" spans="1:5" ht="16" customHeight="1">
      <c r="A38" s="35">
        <v>37</v>
      </c>
      <c r="B38" s="60" t="s">
        <v>99</v>
      </c>
      <c r="C38" s="60" t="s">
        <v>100</v>
      </c>
      <c r="D38" s="61">
        <v>0.29166666666666669</v>
      </c>
      <c r="E38" s="62">
        <v>0.91666666666666663</v>
      </c>
    </row>
    <row r="39" spans="1:5" ht="16" customHeight="1">
      <c r="A39" s="31">
        <v>38</v>
      </c>
      <c r="B39" s="57" t="s">
        <v>101</v>
      </c>
      <c r="C39" s="57" t="s">
        <v>102</v>
      </c>
      <c r="D39" s="58">
        <v>0.29166666666666669</v>
      </c>
      <c r="E39" s="59">
        <v>0.91666666666666663</v>
      </c>
    </row>
    <row r="40" spans="1:5" ht="16" customHeight="1">
      <c r="A40" s="35">
        <v>39</v>
      </c>
      <c r="B40" s="60" t="s">
        <v>103</v>
      </c>
      <c r="C40" s="60" t="s">
        <v>104</v>
      </c>
      <c r="D40" s="61">
        <v>0.29166666666666669</v>
      </c>
      <c r="E40" s="62">
        <v>0.79166666666666663</v>
      </c>
    </row>
    <row r="41" spans="1:5" ht="16" customHeight="1">
      <c r="A41" s="31">
        <v>40</v>
      </c>
      <c r="B41" s="57" t="s">
        <v>22</v>
      </c>
      <c r="C41" s="57" t="s">
        <v>105</v>
      </c>
      <c r="D41" s="58">
        <v>0.29166666666666669</v>
      </c>
      <c r="E41" s="59">
        <v>0.875</v>
      </c>
    </row>
    <row r="42" spans="1:5" ht="16" customHeight="1">
      <c r="A42" s="35">
        <v>41</v>
      </c>
      <c r="B42" s="60" t="s">
        <v>107</v>
      </c>
      <c r="C42" s="60" t="s">
        <v>108</v>
      </c>
      <c r="D42" s="61">
        <v>0.33333333333333331</v>
      </c>
      <c r="E42" s="62">
        <v>0.83333333333333337</v>
      </c>
    </row>
    <row r="43" spans="1:5" ht="16" customHeight="1">
      <c r="A43" s="31">
        <v>42</v>
      </c>
      <c r="B43" s="57" t="s">
        <v>109</v>
      </c>
      <c r="C43" s="57" t="s">
        <v>110</v>
      </c>
      <c r="D43" s="58">
        <v>0.375</v>
      </c>
      <c r="E43" s="59">
        <v>0.83333333333333337</v>
      </c>
    </row>
    <row r="44" spans="1:5" ht="16" customHeight="1">
      <c r="A44" s="35">
        <v>43</v>
      </c>
      <c r="B44" s="60" t="s">
        <v>111</v>
      </c>
      <c r="C44" s="60" t="s">
        <v>112</v>
      </c>
      <c r="D44" s="61">
        <v>0.29166666666666669</v>
      </c>
      <c r="E44" s="62">
        <v>0.72916666666666663</v>
      </c>
    </row>
    <row r="45" spans="1:5" ht="16" customHeight="1">
      <c r="A45" s="31">
        <v>44</v>
      </c>
      <c r="B45" s="57" t="s">
        <v>92</v>
      </c>
      <c r="C45" s="57" t="s">
        <v>114</v>
      </c>
      <c r="D45" s="58">
        <v>0.33333333333333331</v>
      </c>
      <c r="E45" s="59">
        <v>0.83333333333333337</v>
      </c>
    </row>
    <row r="46" spans="1:5" ht="16" customHeight="1">
      <c r="A46" s="35">
        <v>45</v>
      </c>
      <c r="B46" s="60" t="s">
        <v>115</v>
      </c>
      <c r="C46" s="60" t="s">
        <v>116</v>
      </c>
      <c r="D46" s="61">
        <v>0.29166666666666669</v>
      </c>
      <c r="E46" s="62">
        <v>0.91666666666666663</v>
      </c>
    </row>
    <row r="47" spans="1:5" ht="16" customHeight="1">
      <c r="A47" s="31">
        <v>46</v>
      </c>
      <c r="B47" s="57" t="s">
        <v>117</v>
      </c>
      <c r="C47" s="57" t="s">
        <v>118</v>
      </c>
      <c r="D47" s="58">
        <v>0.29166666666666669</v>
      </c>
      <c r="E47" s="59">
        <v>0.91666666666666663</v>
      </c>
    </row>
    <row r="48" spans="1:5" ht="16" customHeight="1">
      <c r="A48" s="35">
        <v>47</v>
      </c>
      <c r="B48" s="60" t="s">
        <v>120</v>
      </c>
      <c r="C48" s="60" t="s">
        <v>121</v>
      </c>
      <c r="D48" s="61">
        <v>0.29166666666666669</v>
      </c>
      <c r="E48" s="62">
        <v>0.91666666666666663</v>
      </c>
    </row>
    <row r="49" spans="1:5" ht="16" customHeight="1">
      <c r="A49" s="31">
        <v>48</v>
      </c>
      <c r="B49" s="57" t="s">
        <v>36</v>
      </c>
      <c r="C49" s="57" t="s">
        <v>122</v>
      </c>
      <c r="D49" s="58">
        <v>0.29166666666666669</v>
      </c>
      <c r="E49" s="59">
        <v>0.91666666666666663</v>
      </c>
    </row>
    <row r="50" spans="1:5" ht="16" customHeight="1">
      <c r="A50" s="35">
        <v>49</v>
      </c>
      <c r="B50" s="60" t="s">
        <v>124</v>
      </c>
      <c r="C50" s="60" t="s">
        <v>125</v>
      </c>
      <c r="D50" s="61">
        <v>0.33333333333333331</v>
      </c>
      <c r="E50" s="62">
        <v>0.79166666666666663</v>
      </c>
    </row>
    <row r="51" spans="1:5" ht="16" customHeight="1">
      <c r="A51" s="31">
        <v>50</v>
      </c>
      <c r="B51" s="57" t="s">
        <v>126</v>
      </c>
      <c r="C51" s="57" t="s">
        <v>127</v>
      </c>
      <c r="D51" s="58">
        <v>0.29166666666666669</v>
      </c>
      <c r="E51" s="59">
        <v>0.91666666666666663</v>
      </c>
    </row>
    <row r="52" spans="1:5" ht="16" customHeight="1">
      <c r="A52" s="35">
        <v>51</v>
      </c>
      <c r="B52" s="60" t="s">
        <v>128</v>
      </c>
      <c r="C52" s="60" t="s">
        <v>129</v>
      </c>
      <c r="D52" s="61">
        <v>0.25</v>
      </c>
      <c r="E52" s="62">
        <v>0.9375</v>
      </c>
    </row>
    <row r="53" spans="1:5" ht="16" customHeight="1">
      <c r="A53" s="31">
        <v>52</v>
      </c>
      <c r="B53" s="57" t="s">
        <v>52</v>
      </c>
      <c r="C53" s="57" t="s">
        <v>130</v>
      </c>
      <c r="D53" s="58">
        <v>0.27083333333333331</v>
      </c>
      <c r="E53" s="59">
        <v>0.99305555555555558</v>
      </c>
    </row>
    <row r="54" spans="1:5" ht="16" customHeight="1">
      <c r="A54" s="35">
        <v>53</v>
      </c>
      <c r="B54" s="60" t="s">
        <v>131</v>
      </c>
      <c r="C54" s="60" t="s">
        <v>132</v>
      </c>
      <c r="D54" s="61">
        <v>0.29166666666666669</v>
      </c>
      <c r="E54" s="62">
        <v>0.91666666666666663</v>
      </c>
    </row>
    <row r="55" spans="1:5" ht="16" customHeight="1">
      <c r="A55" s="31">
        <v>54</v>
      </c>
      <c r="B55" s="57" t="s">
        <v>133</v>
      </c>
      <c r="C55" s="57" t="s">
        <v>134</v>
      </c>
      <c r="D55" s="58">
        <v>0.29166666666666669</v>
      </c>
      <c r="E55" s="59">
        <v>0.95833333333333337</v>
      </c>
    </row>
    <row r="56" spans="1:5" ht="16" customHeight="1">
      <c r="A56" s="35">
        <v>55</v>
      </c>
      <c r="B56" s="60" t="s">
        <v>106</v>
      </c>
      <c r="C56" s="60" t="s">
        <v>136</v>
      </c>
      <c r="D56" s="61">
        <v>0.29166666666666669</v>
      </c>
      <c r="E56" s="62">
        <v>0.99930555555555556</v>
      </c>
    </row>
    <row r="57" spans="1:5" ht="16" customHeight="1">
      <c r="A57" s="31">
        <v>56</v>
      </c>
      <c r="B57" s="57" t="s">
        <v>137</v>
      </c>
      <c r="C57" s="57" t="s">
        <v>138</v>
      </c>
      <c r="D57" s="58">
        <v>0.29166666666666669</v>
      </c>
      <c r="E57" s="59">
        <v>0.91666666666666663</v>
      </c>
    </row>
    <row r="58" spans="1:5" ht="16" customHeight="1">
      <c r="A58" s="35">
        <v>57</v>
      </c>
      <c r="B58" s="60" t="s">
        <v>119</v>
      </c>
      <c r="C58" s="60" t="s">
        <v>139</v>
      </c>
      <c r="D58" s="61">
        <v>0.29166666666666669</v>
      </c>
      <c r="E58" s="62">
        <v>0.91666666666666663</v>
      </c>
    </row>
    <row r="59" spans="1:5" ht="16" customHeight="1">
      <c r="A59" s="31">
        <v>58</v>
      </c>
      <c r="B59" s="57" t="s">
        <v>140</v>
      </c>
      <c r="C59" s="57" t="s">
        <v>141</v>
      </c>
      <c r="D59" s="58">
        <v>0.29166666666666669</v>
      </c>
      <c r="E59" s="59">
        <v>0.91666666666666663</v>
      </c>
    </row>
    <row r="60" spans="1:5" ht="16" customHeight="1">
      <c r="A60" s="35">
        <v>59</v>
      </c>
      <c r="B60" s="60" t="s">
        <v>142</v>
      </c>
      <c r="C60" s="60" t="s">
        <v>143</v>
      </c>
      <c r="D60" s="61">
        <v>0.27083333333333331</v>
      </c>
      <c r="E60" s="62">
        <v>0.95833333333333337</v>
      </c>
    </row>
    <row r="61" spans="1:5" ht="16" customHeight="1">
      <c r="A61" s="31">
        <v>60</v>
      </c>
      <c r="B61" s="57" t="s">
        <v>144</v>
      </c>
      <c r="C61" s="57" t="s">
        <v>145</v>
      </c>
      <c r="D61" s="58">
        <v>0.33333333333333331</v>
      </c>
      <c r="E61" s="59">
        <v>0.83333333333333337</v>
      </c>
    </row>
    <row r="62" spans="1:5" ht="16" customHeight="1">
      <c r="A62" s="35">
        <v>61</v>
      </c>
      <c r="B62" s="60" t="s">
        <v>147</v>
      </c>
      <c r="C62" s="60" t="s">
        <v>148</v>
      </c>
      <c r="D62" s="61">
        <v>0.29166666666666669</v>
      </c>
      <c r="E62" s="62">
        <v>0.75</v>
      </c>
    </row>
    <row r="63" spans="1:5" ht="16" customHeight="1">
      <c r="A63" s="31">
        <v>62</v>
      </c>
      <c r="B63" s="57" t="s">
        <v>95</v>
      </c>
      <c r="C63" s="57" t="s">
        <v>149</v>
      </c>
      <c r="D63" s="58">
        <v>0.33333333333333331</v>
      </c>
      <c r="E63" s="59">
        <v>0.875</v>
      </c>
    </row>
    <row r="64" spans="1:5" ht="16" customHeight="1">
      <c r="A64" s="63">
        <v>63</v>
      </c>
      <c r="B64" s="64" t="s">
        <v>40</v>
      </c>
      <c r="C64" s="64" t="s">
        <v>150</v>
      </c>
      <c r="D64" s="65">
        <v>0.29166666666666669</v>
      </c>
      <c r="E64" s="66">
        <v>0.91666666666666663</v>
      </c>
    </row>
    <row r="257" spans="7:12" ht="12.5">
      <c r="G257" s="3"/>
      <c r="L257" s="4"/>
    </row>
    <row r="258" spans="7:12" ht="12.5">
      <c r="G258" s="3"/>
      <c r="L258" s="4"/>
    </row>
    <row r="259" spans="7:12" ht="12.5">
      <c r="G259" s="3"/>
      <c r="L259" s="4"/>
    </row>
    <row r="260" spans="7:12" ht="12.5">
      <c r="G260" s="3"/>
      <c r="L260" s="4"/>
    </row>
    <row r="261" spans="7:12" ht="12.5">
      <c r="G261" s="3"/>
      <c r="L261" s="4"/>
    </row>
    <row r="262" spans="7:12" ht="12.5">
      <c r="G262" s="3"/>
      <c r="L262" s="4"/>
    </row>
    <row r="263" spans="7:12" ht="12.5">
      <c r="G263" s="3"/>
      <c r="L263" s="4"/>
    </row>
    <row r="264" spans="7:12" ht="12.5">
      <c r="G264" s="3"/>
      <c r="L264" s="4"/>
    </row>
    <row r="265" spans="7:12" ht="12.5">
      <c r="G265" s="3"/>
      <c r="L265" s="4"/>
    </row>
    <row r="266" spans="7:12" ht="12.5">
      <c r="G266" s="3"/>
      <c r="L266" s="4"/>
    </row>
    <row r="267" spans="7:12" ht="12.5">
      <c r="G267" s="3"/>
      <c r="L267" s="4"/>
    </row>
    <row r="268" spans="7:12" ht="12.5">
      <c r="G268" s="3"/>
      <c r="L268" s="4"/>
    </row>
    <row r="269" spans="7:12" ht="12.5">
      <c r="G269" s="3"/>
      <c r="L269" s="4"/>
    </row>
    <row r="270" spans="7:12" ht="12.5">
      <c r="G270" s="3"/>
      <c r="L270" s="4"/>
    </row>
    <row r="271" spans="7:12" ht="12.5">
      <c r="G271" s="3"/>
      <c r="L271" s="4"/>
    </row>
    <row r="272" spans="7:12" ht="12.5">
      <c r="G272" s="3"/>
      <c r="L272" s="4"/>
    </row>
    <row r="273" spans="7:12" ht="12.5">
      <c r="G273" s="3"/>
      <c r="L273" s="4"/>
    </row>
    <row r="274" spans="7:12" ht="12.5">
      <c r="G274" s="3"/>
      <c r="L274" s="4"/>
    </row>
    <row r="275" spans="7:12" ht="12.5">
      <c r="G275" s="3"/>
      <c r="L275" s="4"/>
    </row>
    <row r="276" spans="7:12" ht="12.5">
      <c r="G276" s="3"/>
      <c r="L276" s="4"/>
    </row>
    <row r="277" spans="7:12" ht="12.5">
      <c r="G277" s="3"/>
      <c r="L277" s="4"/>
    </row>
    <row r="278" spans="7:12" ht="12.5">
      <c r="G278" s="3"/>
      <c r="L278" s="4"/>
    </row>
    <row r="279" spans="7:12" ht="12.5">
      <c r="G279" s="3"/>
      <c r="L279" s="4"/>
    </row>
    <row r="280" spans="7:12" ht="12.5">
      <c r="G280" s="3"/>
      <c r="L280" s="4"/>
    </row>
    <row r="281" spans="7:12" ht="12.5">
      <c r="G281" s="3"/>
      <c r="L281" s="4"/>
    </row>
    <row r="282" spans="7:12" ht="12.5">
      <c r="G282" s="3"/>
      <c r="L282" s="4"/>
    </row>
    <row r="283" spans="7:12" ht="12.5">
      <c r="G283" s="3"/>
      <c r="L283" s="4"/>
    </row>
    <row r="284" spans="7:12" ht="12.5">
      <c r="G284" s="3"/>
      <c r="L284" s="4"/>
    </row>
    <row r="285" spans="7:12" ht="12.5">
      <c r="G285" s="3"/>
      <c r="L285" s="4"/>
    </row>
    <row r="286" spans="7:12" ht="12.5">
      <c r="G286" s="3"/>
      <c r="L286" s="4"/>
    </row>
    <row r="287" spans="7:12" ht="12.5">
      <c r="G287" s="3"/>
      <c r="L287" s="4"/>
    </row>
    <row r="288" spans="7:12" ht="12.5">
      <c r="G288" s="3"/>
      <c r="L288" s="4"/>
    </row>
    <row r="289" spans="7:12" ht="12.5">
      <c r="G289" s="3"/>
      <c r="L289" s="4"/>
    </row>
    <row r="290" spans="7:12" ht="12.5">
      <c r="G290" s="3"/>
      <c r="L290" s="4"/>
    </row>
    <row r="291" spans="7:12" ht="12.5">
      <c r="G291" s="3"/>
      <c r="L291" s="4"/>
    </row>
    <row r="292" spans="7:12" ht="12.5">
      <c r="G292" s="3"/>
      <c r="L292" s="4"/>
    </row>
    <row r="293" spans="7:12" ht="12.5">
      <c r="G293" s="3"/>
      <c r="L293" s="4"/>
    </row>
    <row r="294" spans="7:12" ht="12.5">
      <c r="G294" s="3"/>
      <c r="L294" s="4"/>
    </row>
    <row r="295" spans="7:12" ht="12.5">
      <c r="G295" s="3"/>
      <c r="L295" s="4"/>
    </row>
    <row r="296" spans="7:12" ht="12.5">
      <c r="G296" s="3"/>
      <c r="L296" s="4"/>
    </row>
    <row r="297" spans="7:12" ht="12.5">
      <c r="G297" s="3"/>
      <c r="L297" s="4"/>
    </row>
    <row r="298" spans="7:12" ht="12.5">
      <c r="G298" s="3"/>
      <c r="L298" s="4"/>
    </row>
    <row r="299" spans="7:12" ht="12.5">
      <c r="G299" s="3"/>
      <c r="L299" s="4"/>
    </row>
    <row r="300" spans="7:12" ht="12.5">
      <c r="G300" s="3"/>
      <c r="L300" s="4"/>
    </row>
    <row r="301" spans="7:12" ht="12.5">
      <c r="G301" s="3"/>
      <c r="L301" s="4"/>
    </row>
    <row r="302" spans="7:12" ht="12.5">
      <c r="G302" s="3"/>
      <c r="L302" s="4"/>
    </row>
    <row r="303" spans="7:12" ht="12.5">
      <c r="G303" s="3"/>
      <c r="L303" s="4"/>
    </row>
    <row r="304" spans="7:12" ht="12.5">
      <c r="G304" s="3"/>
      <c r="L304" s="4"/>
    </row>
    <row r="305" spans="7:12" ht="12.5">
      <c r="G305" s="3"/>
      <c r="L305" s="4"/>
    </row>
    <row r="306" spans="7:12" ht="12.5">
      <c r="G306" s="3"/>
      <c r="L306" s="4"/>
    </row>
    <row r="307" spans="7:12" ht="12.5">
      <c r="G307" s="3"/>
      <c r="L307" s="4"/>
    </row>
    <row r="308" spans="7:12" ht="12.5">
      <c r="G308" s="3"/>
      <c r="L308" s="4"/>
    </row>
    <row r="309" spans="7:12" ht="12.5">
      <c r="G309" s="3"/>
      <c r="L309" s="4"/>
    </row>
    <row r="310" spans="7:12" ht="12.5">
      <c r="G310" s="3"/>
      <c r="L310" s="4"/>
    </row>
    <row r="311" spans="7:12" ht="12.5">
      <c r="G311" s="3"/>
      <c r="L311" s="4"/>
    </row>
    <row r="312" spans="7:12" ht="12.5">
      <c r="G312" s="3"/>
      <c r="L312" s="4"/>
    </row>
    <row r="313" spans="7:12" ht="12.5">
      <c r="G313" s="3"/>
      <c r="L313" s="4"/>
    </row>
    <row r="314" spans="7:12" ht="12.5">
      <c r="G314" s="3"/>
      <c r="L314" s="4"/>
    </row>
    <row r="315" spans="7:12" ht="12.5">
      <c r="G315" s="3"/>
      <c r="L315" s="4"/>
    </row>
    <row r="316" spans="7:12" ht="12.5">
      <c r="G316" s="3"/>
      <c r="L316" s="4"/>
    </row>
    <row r="317" spans="7:12" ht="12.5">
      <c r="G317" s="3"/>
      <c r="L317" s="4"/>
    </row>
    <row r="318" spans="7:12" ht="12.5">
      <c r="G318" s="3"/>
      <c r="L318" s="4"/>
    </row>
    <row r="319" spans="7:12" ht="12.5">
      <c r="G319" s="3"/>
      <c r="L319" s="4"/>
    </row>
    <row r="320" spans="7:12" ht="12.5">
      <c r="G320" s="3"/>
      <c r="L320" s="4"/>
    </row>
    <row r="321" spans="7:12" ht="12.5">
      <c r="G321" s="3"/>
      <c r="L321" s="4"/>
    </row>
    <row r="322" spans="7:12" ht="12.5">
      <c r="G322" s="3"/>
      <c r="L322" s="4"/>
    </row>
    <row r="323" spans="7:12" ht="12.5">
      <c r="G323" s="3"/>
      <c r="L323" s="4"/>
    </row>
    <row r="324" spans="7:12" ht="12.5">
      <c r="G324" s="3"/>
      <c r="L324" s="4"/>
    </row>
    <row r="325" spans="7:12" ht="12.5">
      <c r="G325" s="3"/>
      <c r="L325" s="4"/>
    </row>
    <row r="326" spans="7:12" ht="12.5">
      <c r="G326" s="3"/>
      <c r="L326" s="4"/>
    </row>
    <row r="327" spans="7:12" ht="12.5">
      <c r="G327" s="3"/>
      <c r="L327" s="4"/>
    </row>
    <row r="328" spans="7:12" ht="12.5">
      <c r="G328" s="3"/>
      <c r="L328" s="4"/>
    </row>
    <row r="329" spans="7:12" ht="12.5">
      <c r="G329" s="3"/>
      <c r="L329" s="4"/>
    </row>
    <row r="330" spans="7:12" ht="12.5">
      <c r="G330" s="3"/>
      <c r="L330" s="4"/>
    </row>
    <row r="331" spans="7:12" ht="12.5">
      <c r="G331" s="3"/>
      <c r="L331" s="4"/>
    </row>
    <row r="332" spans="7:12" ht="12.5">
      <c r="G332" s="3"/>
      <c r="L332" s="4"/>
    </row>
    <row r="333" spans="7:12" ht="12.5">
      <c r="G333" s="3"/>
      <c r="L333" s="4"/>
    </row>
    <row r="334" spans="7:12" ht="12.5">
      <c r="G334" s="3"/>
      <c r="L334" s="4"/>
    </row>
    <row r="335" spans="7:12" ht="12.5">
      <c r="G335" s="3"/>
      <c r="L335" s="4"/>
    </row>
    <row r="336" spans="7:12" ht="12.5">
      <c r="G336" s="3"/>
      <c r="L336" s="4"/>
    </row>
    <row r="337" spans="7:12" ht="12.5">
      <c r="G337" s="3"/>
      <c r="L337" s="4"/>
    </row>
    <row r="338" spans="7:12" ht="12.5">
      <c r="G338" s="3"/>
      <c r="L338" s="4"/>
    </row>
    <row r="339" spans="7:12" ht="12.5">
      <c r="G339" s="3"/>
      <c r="L339" s="4"/>
    </row>
    <row r="340" spans="7:12" ht="12.5">
      <c r="G340" s="3"/>
      <c r="L340" s="4"/>
    </row>
    <row r="341" spans="7:12" ht="12.5">
      <c r="G341" s="3"/>
      <c r="L341" s="4"/>
    </row>
    <row r="342" spans="7:12" ht="12.5">
      <c r="G342" s="3"/>
      <c r="L342" s="4"/>
    </row>
    <row r="343" spans="7:12" ht="12.5">
      <c r="G343" s="3"/>
      <c r="L343" s="4"/>
    </row>
    <row r="344" spans="7:12" ht="12.5">
      <c r="G344" s="3"/>
      <c r="L344" s="4"/>
    </row>
    <row r="345" spans="7:12" ht="12.5">
      <c r="G345" s="3"/>
      <c r="L345" s="4"/>
    </row>
    <row r="346" spans="7:12" ht="12.5">
      <c r="G346" s="3"/>
      <c r="L346" s="4"/>
    </row>
    <row r="347" spans="7:12" ht="12.5">
      <c r="G347" s="3"/>
      <c r="L347" s="4"/>
    </row>
    <row r="348" spans="7:12" ht="12.5">
      <c r="G348" s="3"/>
      <c r="L348" s="4"/>
    </row>
    <row r="349" spans="7:12" ht="12.5">
      <c r="G349" s="3"/>
      <c r="L349" s="4"/>
    </row>
    <row r="350" spans="7:12" ht="12.5">
      <c r="G350" s="3"/>
      <c r="L350" s="4"/>
    </row>
    <row r="351" spans="7:12" ht="12.5">
      <c r="G351" s="3"/>
      <c r="L351" s="4"/>
    </row>
    <row r="352" spans="7:12" ht="12.5">
      <c r="G352" s="3"/>
      <c r="L352" s="4"/>
    </row>
    <row r="353" spans="7:12" ht="12.5">
      <c r="G353" s="3"/>
      <c r="L353" s="4"/>
    </row>
    <row r="354" spans="7:12" ht="12.5">
      <c r="G354" s="3"/>
      <c r="L354" s="4"/>
    </row>
    <row r="355" spans="7:12" ht="12.5">
      <c r="G355" s="3"/>
      <c r="L355" s="4"/>
    </row>
    <row r="356" spans="7:12" ht="12.5">
      <c r="G356" s="3"/>
      <c r="L356" s="4"/>
    </row>
    <row r="357" spans="7:12" ht="12.5">
      <c r="G357" s="3"/>
      <c r="L357" s="4"/>
    </row>
    <row r="358" spans="7:12" ht="12.5">
      <c r="G358" s="3"/>
      <c r="L358" s="4"/>
    </row>
    <row r="359" spans="7:12" ht="12.5">
      <c r="G359" s="3"/>
      <c r="L359" s="4"/>
    </row>
    <row r="360" spans="7:12" ht="12.5">
      <c r="G360" s="3"/>
      <c r="L360" s="4"/>
    </row>
    <row r="361" spans="7:12" ht="12.5">
      <c r="G361" s="3"/>
      <c r="L361" s="4"/>
    </row>
    <row r="362" spans="7:12" ht="12.5">
      <c r="G362" s="3"/>
      <c r="L362" s="4"/>
    </row>
    <row r="363" spans="7:12" ht="12.5">
      <c r="G363" s="3"/>
      <c r="L363" s="4"/>
    </row>
    <row r="364" spans="7:12" ht="12.5">
      <c r="G364" s="3"/>
      <c r="L364" s="4"/>
    </row>
    <row r="365" spans="7:12" ht="12.5">
      <c r="G365" s="3"/>
      <c r="L365" s="4"/>
    </row>
    <row r="366" spans="7:12" ht="12.5">
      <c r="G366" s="3"/>
      <c r="L366" s="4"/>
    </row>
    <row r="367" spans="7:12" ht="12.5">
      <c r="G367" s="3"/>
      <c r="L367" s="4"/>
    </row>
    <row r="368" spans="7:12" ht="12.5">
      <c r="G368" s="3"/>
      <c r="L368" s="4"/>
    </row>
    <row r="369" spans="7:12" ht="12.5">
      <c r="G369" s="3"/>
      <c r="L369" s="4"/>
    </row>
    <row r="370" spans="7:12" ht="12.5">
      <c r="G370" s="3"/>
      <c r="L370" s="4"/>
    </row>
    <row r="371" spans="7:12" ht="12.5">
      <c r="G371" s="3"/>
      <c r="L371" s="4"/>
    </row>
    <row r="372" spans="7:12" ht="12.5">
      <c r="G372" s="3"/>
      <c r="L372" s="4"/>
    </row>
    <row r="373" spans="7:12" ht="12.5">
      <c r="G373" s="3"/>
      <c r="L373" s="4"/>
    </row>
    <row r="374" spans="7:12" ht="12.5">
      <c r="G374" s="3"/>
      <c r="L374" s="4"/>
    </row>
    <row r="375" spans="7:12" ht="12.5">
      <c r="G375" s="3"/>
      <c r="L375" s="4"/>
    </row>
    <row r="376" spans="7:12" ht="12.5">
      <c r="G376" s="3"/>
      <c r="L376" s="4"/>
    </row>
    <row r="377" spans="7:12" ht="12.5">
      <c r="G377" s="3"/>
      <c r="L377" s="4"/>
    </row>
    <row r="378" spans="7:12" ht="12.5">
      <c r="G378" s="3"/>
      <c r="L378" s="4"/>
    </row>
    <row r="379" spans="7:12" ht="12.5">
      <c r="G379" s="3"/>
      <c r="L379" s="4"/>
    </row>
    <row r="380" spans="7:12" ht="12.5">
      <c r="G380" s="3"/>
      <c r="L380" s="4"/>
    </row>
    <row r="381" spans="7:12" ht="12.5">
      <c r="G381" s="3"/>
      <c r="L381" s="4"/>
    </row>
    <row r="382" spans="7:12" ht="12.5">
      <c r="G382" s="3"/>
      <c r="L382" s="4"/>
    </row>
    <row r="383" spans="7:12" ht="12.5">
      <c r="G383" s="3"/>
      <c r="L383" s="4"/>
    </row>
    <row r="384" spans="7:12" ht="12.5">
      <c r="G384" s="3"/>
      <c r="L384" s="4"/>
    </row>
    <row r="385" spans="7:12" ht="12.5">
      <c r="G385" s="3"/>
      <c r="L385" s="4"/>
    </row>
    <row r="386" spans="7:12" ht="12.5">
      <c r="G386" s="3"/>
      <c r="L386" s="4"/>
    </row>
    <row r="387" spans="7:12" ht="12.5">
      <c r="G387" s="3"/>
      <c r="L387" s="4"/>
    </row>
    <row r="388" spans="7:12" ht="12.5">
      <c r="G388" s="3"/>
      <c r="L388" s="4"/>
    </row>
    <row r="389" spans="7:12" ht="12.5">
      <c r="G389" s="3"/>
      <c r="L389" s="4"/>
    </row>
    <row r="390" spans="7:12" ht="12.5">
      <c r="G390" s="3"/>
      <c r="L390" s="4"/>
    </row>
    <row r="391" spans="7:12" ht="12.5">
      <c r="G391" s="3"/>
      <c r="L391" s="4"/>
    </row>
    <row r="392" spans="7:12" ht="12.5">
      <c r="G392" s="3"/>
      <c r="L392" s="4"/>
    </row>
    <row r="393" spans="7:12" ht="12.5">
      <c r="G393" s="3"/>
      <c r="L393" s="4"/>
    </row>
    <row r="394" spans="7:12" ht="12.5">
      <c r="G394" s="3"/>
      <c r="L394" s="4"/>
    </row>
    <row r="395" spans="7:12" ht="12.5">
      <c r="G395" s="3"/>
      <c r="L395" s="4"/>
    </row>
    <row r="396" spans="7:12" ht="12.5">
      <c r="G396" s="3"/>
      <c r="L396" s="4"/>
    </row>
    <row r="397" spans="7:12" ht="12.5">
      <c r="G397" s="3"/>
      <c r="L397" s="4"/>
    </row>
    <row r="398" spans="7:12" ht="12.5">
      <c r="G398" s="3"/>
      <c r="L398" s="4"/>
    </row>
    <row r="399" spans="7:12" ht="12.5">
      <c r="G399" s="3"/>
      <c r="L399" s="4"/>
    </row>
    <row r="400" spans="7:12" ht="12.5">
      <c r="G400" s="3"/>
      <c r="L400" s="4"/>
    </row>
    <row r="401" spans="7:12" ht="12.5">
      <c r="G401" s="3"/>
      <c r="L401" s="4"/>
    </row>
    <row r="402" spans="7:12" ht="12.5">
      <c r="G402" s="3"/>
      <c r="L402" s="4"/>
    </row>
    <row r="403" spans="7:12" ht="12.5">
      <c r="G403" s="3"/>
      <c r="L403" s="4"/>
    </row>
    <row r="404" spans="7:12" ht="12.5">
      <c r="G404" s="3"/>
      <c r="L404" s="4"/>
    </row>
    <row r="405" spans="7:12" ht="12.5">
      <c r="G405" s="3"/>
      <c r="L405" s="4"/>
    </row>
    <row r="406" spans="7:12" ht="12.5">
      <c r="G406" s="3"/>
      <c r="L406" s="4"/>
    </row>
    <row r="407" spans="7:12" ht="12.5">
      <c r="G407" s="3"/>
      <c r="L407" s="4"/>
    </row>
    <row r="408" spans="7:12" ht="12.5">
      <c r="G408" s="3"/>
      <c r="L408" s="4"/>
    </row>
    <row r="409" spans="7:12" ht="12.5">
      <c r="G409" s="3"/>
      <c r="L409" s="4"/>
    </row>
    <row r="410" spans="7:12" ht="12.5">
      <c r="G410" s="3"/>
      <c r="L410" s="4"/>
    </row>
    <row r="411" spans="7:12" ht="12.5">
      <c r="G411" s="3"/>
      <c r="L411" s="4"/>
    </row>
    <row r="412" spans="7:12" ht="12.5">
      <c r="G412" s="3"/>
      <c r="L412" s="4"/>
    </row>
    <row r="413" spans="7:12" ht="12.5">
      <c r="G413" s="3"/>
      <c r="L413" s="4"/>
    </row>
    <row r="414" spans="7:12" ht="12.5">
      <c r="G414" s="3"/>
      <c r="L414" s="4"/>
    </row>
    <row r="415" spans="7:12" ht="12.5">
      <c r="G415" s="3"/>
      <c r="L415" s="4"/>
    </row>
    <row r="416" spans="7:12" ht="12.5">
      <c r="G416" s="3"/>
      <c r="L416" s="4"/>
    </row>
    <row r="417" spans="7:12" ht="12.5">
      <c r="G417" s="3"/>
      <c r="L417" s="4"/>
    </row>
    <row r="418" spans="7:12" ht="12.5">
      <c r="G418" s="3"/>
      <c r="L418" s="4"/>
    </row>
    <row r="419" spans="7:12" ht="12.5">
      <c r="G419" s="3"/>
      <c r="L419" s="4"/>
    </row>
    <row r="420" spans="7:12" ht="12.5">
      <c r="G420" s="3"/>
      <c r="L420" s="4"/>
    </row>
    <row r="421" spans="7:12" ht="12.5">
      <c r="G421" s="3"/>
      <c r="L421" s="4"/>
    </row>
    <row r="422" spans="7:12" ht="12.5">
      <c r="G422" s="3"/>
      <c r="L422" s="4"/>
    </row>
    <row r="423" spans="7:12" ht="12.5">
      <c r="G423" s="3"/>
      <c r="L423" s="4"/>
    </row>
    <row r="424" spans="7:12" ht="12.5">
      <c r="G424" s="3"/>
      <c r="L424" s="4"/>
    </row>
    <row r="425" spans="7:12" ht="12.5">
      <c r="G425" s="3"/>
      <c r="L425" s="4"/>
    </row>
    <row r="426" spans="7:12" ht="12.5">
      <c r="G426" s="3"/>
      <c r="L426" s="4"/>
    </row>
    <row r="427" spans="7:12" ht="12.5">
      <c r="G427" s="3"/>
      <c r="L427" s="4"/>
    </row>
    <row r="428" spans="7:12" ht="12.5">
      <c r="G428" s="3"/>
      <c r="L428" s="4"/>
    </row>
    <row r="429" spans="7:12" ht="12.5">
      <c r="G429" s="3"/>
      <c r="L429" s="4"/>
    </row>
    <row r="430" spans="7:12" ht="12.5">
      <c r="G430" s="3"/>
      <c r="L430" s="4"/>
    </row>
    <row r="431" spans="7:12" ht="12.5">
      <c r="G431" s="3"/>
      <c r="L431" s="4"/>
    </row>
    <row r="432" spans="7:12" ht="12.5">
      <c r="G432" s="3"/>
      <c r="L432" s="4"/>
    </row>
    <row r="433" spans="7:12" ht="12.5">
      <c r="G433" s="3"/>
      <c r="L433" s="4"/>
    </row>
    <row r="434" spans="7:12" ht="12.5">
      <c r="G434" s="3"/>
      <c r="L434" s="4"/>
    </row>
    <row r="435" spans="7:12" ht="12.5">
      <c r="G435" s="3"/>
      <c r="L435" s="4"/>
    </row>
    <row r="436" spans="7:12" ht="12.5">
      <c r="G436" s="3"/>
      <c r="L436" s="4"/>
    </row>
    <row r="437" spans="7:12" ht="12.5">
      <c r="G437" s="3"/>
      <c r="L437" s="4"/>
    </row>
    <row r="438" spans="7:12" ht="12.5">
      <c r="G438" s="3"/>
      <c r="L438" s="4"/>
    </row>
    <row r="439" spans="7:12" ht="12.5">
      <c r="G439" s="3"/>
      <c r="L439" s="4"/>
    </row>
    <row r="440" spans="7:12" ht="12.5">
      <c r="G440" s="3"/>
      <c r="L440" s="4"/>
    </row>
    <row r="441" spans="7:12" ht="12.5">
      <c r="G441" s="3"/>
      <c r="L441" s="4"/>
    </row>
    <row r="442" spans="7:12" ht="12.5">
      <c r="G442" s="3"/>
      <c r="L442" s="4"/>
    </row>
    <row r="443" spans="7:12" ht="12.5">
      <c r="G443" s="3"/>
      <c r="L443" s="4"/>
    </row>
    <row r="444" spans="7:12" ht="12.5">
      <c r="G444" s="3"/>
      <c r="L444" s="4"/>
    </row>
    <row r="445" spans="7:12" ht="12.5">
      <c r="G445" s="3"/>
      <c r="L445" s="4"/>
    </row>
    <row r="446" spans="7:12" ht="12.5">
      <c r="G446" s="3"/>
      <c r="L446" s="4"/>
    </row>
    <row r="447" spans="7:12" ht="12.5">
      <c r="G447" s="3"/>
      <c r="L447" s="4"/>
    </row>
    <row r="448" spans="7:12" ht="12.5">
      <c r="G448" s="3"/>
      <c r="L448" s="4"/>
    </row>
    <row r="449" spans="7:12" ht="12.5">
      <c r="G449" s="3"/>
      <c r="L449" s="4"/>
    </row>
    <row r="450" spans="7:12" ht="12.5">
      <c r="G450" s="3"/>
      <c r="L450" s="4"/>
    </row>
    <row r="451" spans="7:12" ht="12.5">
      <c r="G451" s="3"/>
      <c r="L451" s="4"/>
    </row>
    <row r="452" spans="7:12" ht="12.5">
      <c r="G452" s="3"/>
      <c r="L452" s="4"/>
    </row>
    <row r="453" spans="7:12" ht="12.5">
      <c r="G453" s="3"/>
      <c r="L453" s="4"/>
    </row>
    <row r="454" spans="7:12" ht="12.5">
      <c r="G454" s="3"/>
      <c r="L454" s="4"/>
    </row>
    <row r="455" spans="7:12" ht="12.5">
      <c r="G455" s="3"/>
      <c r="L455" s="4"/>
    </row>
    <row r="456" spans="7:12" ht="12.5">
      <c r="G456" s="3"/>
      <c r="L456" s="4"/>
    </row>
    <row r="457" spans="7:12" ht="12.5">
      <c r="G457" s="3"/>
      <c r="L457" s="4"/>
    </row>
    <row r="458" spans="7:12" ht="12.5">
      <c r="G458" s="3"/>
      <c r="L458" s="4"/>
    </row>
    <row r="459" spans="7:12" ht="12.5">
      <c r="G459" s="3"/>
      <c r="L459" s="4"/>
    </row>
    <row r="460" spans="7:12" ht="12.5">
      <c r="G460" s="3"/>
      <c r="L460" s="4"/>
    </row>
    <row r="461" spans="7:12" ht="12.5">
      <c r="G461" s="3"/>
      <c r="L461" s="4"/>
    </row>
    <row r="462" spans="7:12" ht="12.5">
      <c r="G462" s="3"/>
      <c r="L462" s="4"/>
    </row>
    <row r="463" spans="7:12" ht="12.5">
      <c r="G463" s="3"/>
      <c r="L463" s="4"/>
    </row>
    <row r="464" spans="7:12" ht="12.5">
      <c r="G464" s="3"/>
      <c r="L464" s="4"/>
    </row>
    <row r="465" spans="7:12" ht="12.5">
      <c r="G465" s="3"/>
      <c r="L465" s="4"/>
    </row>
    <row r="466" spans="7:12" ht="12.5">
      <c r="G466" s="3"/>
      <c r="L466" s="4"/>
    </row>
    <row r="467" spans="7:12" ht="12.5">
      <c r="G467" s="3"/>
      <c r="L467" s="4"/>
    </row>
    <row r="468" spans="7:12" ht="12.5">
      <c r="G468" s="3"/>
      <c r="L468" s="4"/>
    </row>
    <row r="469" spans="7:12" ht="12.5">
      <c r="G469" s="3"/>
      <c r="L469" s="4"/>
    </row>
    <row r="470" spans="7:12" ht="12.5">
      <c r="G470" s="3"/>
      <c r="L470" s="4"/>
    </row>
    <row r="471" spans="7:12" ht="12.5">
      <c r="G471" s="3"/>
      <c r="L471" s="4"/>
    </row>
    <row r="472" spans="7:12" ht="12.5">
      <c r="G472" s="3"/>
      <c r="L472" s="4"/>
    </row>
    <row r="473" spans="7:12" ht="12.5">
      <c r="G473" s="3"/>
      <c r="L473" s="4"/>
    </row>
    <row r="474" spans="7:12" ht="12.5">
      <c r="G474" s="3"/>
      <c r="L474" s="4"/>
    </row>
    <row r="475" spans="7:12" ht="12.5">
      <c r="G475" s="3"/>
      <c r="L475" s="4"/>
    </row>
    <row r="476" spans="7:12" ht="12.5">
      <c r="G476" s="3"/>
      <c r="L476" s="4"/>
    </row>
    <row r="477" spans="7:12" ht="12.5">
      <c r="G477" s="3"/>
      <c r="L477" s="4"/>
    </row>
    <row r="478" spans="7:12" ht="12.5">
      <c r="G478" s="3"/>
      <c r="L478" s="4"/>
    </row>
    <row r="479" spans="7:12" ht="12.5">
      <c r="G479" s="3"/>
      <c r="L479" s="4"/>
    </row>
    <row r="480" spans="7:12" ht="12.5">
      <c r="G480" s="3"/>
      <c r="L480" s="4"/>
    </row>
    <row r="481" spans="7:12" ht="12.5">
      <c r="G481" s="3"/>
      <c r="L481" s="4"/>
    </row>
    <row r="482" spans="7:12" ht="12.5">
      <c r="G482" s="3"/>
      <c r="L482" s="4"/>
    </row>
    <row r="483" spans="7:12" ht="12.5">
      <c r="G483" s="3"/>
      <c r="L483" s="4"/>
    </row>
    <row r="484" spans="7:12" ht="12.5">
      <c r="G484" s="3"/>
      <c r="L484" s="4"/>
    </row>
    <row r="485" spans="7:12" ht="12.5">
      <c r="G485" s="3"/>
      <c r="L485" s="4"/>
    </row>
    <row r="486" spans="7:12" ht="12.5">
      <c r="G486" s="3"/>
      <c r="L486" s="4"/>
    </row>
    <row r="487" spans="7:12" ht="12.5">
      <c r="G487" s="3"/>
      <c r="L487" s="4"/>
    </row>
    <row r="488" spans="7:12" ht="12.5">
      <c r="G488" s="3"/>
      <c r="L488" s="4"/>
    </row>
    <row r="489" spans="7:12" ht="12.5">
      <c r="G489" s="3"/>
      <c r="L489" s="4"/>
    </row>
    <row r="490" spans="7:12" ht="12.5">
      <c r="G490" s="3"/>
      <c r="L490" s="4"/>
    </row>
    <row r="491" spans="7:12" ht="12.5">
      <c r="G491" s="3"/>
      <c r="L491" s="4"/>
    </row>
    <row r="492" spans="7:12" ht="12.5">
      <c r="G492" s="3"/>
      <c r="L492" s="4"/>
    </row>
    <row r="493" spans="7:12" ht="12.5">
      <c r="G493" s="3"/>
      <c r="L493" s="4"/>
    </row>
    <row r="494" spans="7:12" ht="12.5">
      <c r="G494" s="3"/>
      <c r="L494" s="4"/>
    </row>
    <row r="495" spans="7:12" ht="12.5">
      <c r="G495" s="3"/>
      <c r="L495" s="4"/>
    </row>
    <row r="496" spans="7:12" ht="12.5">
      <c r="G496" s="3"/>
      <c r="L496" s="4"/>
    </row>
    <row r="497" spans="7:12" ht="12.5">
      <c r="G497" s="3"/>
      <c r="L497" s="4"/>
    </row>
    <row r="498" spans="7:12" ht="12.5">
      <c r="G498" s="3"/>
      <c r="L498" s="4"/>
    </row>
    <row r="499" spans="7:12" ht="12.5">
      <c r="G499" s="3"/>
      <c r="L499" s="4"/>
    </row>
    <row r="500" spans="7:12" ht="12.5">
      <c r="G500" s="3"/>
      <c r="L500" s="4"/>
    </row>
    <row r="501" spans="7:12" ht="12.5">
      <c r="G501" s="3"/>
      <c r="L501" s="4"/>
    </row>
    <row r="502" spans="7:12" ht="12.5">
      <c r="G502" s="3"/>
      <c r="L502" s="4"/>
    </row>
    <row r="503" spans="7:12" ht="12.5">
      <c r="G503" s="3"/>
      <c r="L503" s="4"/>
    </row>
    <row r="504" spans="7:12" ht="12.5">
      <c r="G504" s="3"/>
      <c r="L504" s="4"/>
    </row>
    <row r="505" spans="7:12" ht="12.5">
      <c r="G505" s="3"/>
      <c r="L505" s="4"/>
    </row>
    <row r="506" spans="7:12" ht="12.5">
      <c r="G506" s="3"/>
      <c r="L506" s="4"/>
    </row>
    <row r="507" spans="7:12" ht="12.5">
      <c r="G507" s="3"/>
      <c r="L507" s="4"/>
    </row>
    <row r="508" spans="7:12" ht="12.5">
      <c r="G508" s="3"/>
      <c r="L508" s="4"/>
    </row>
    <row r="509" spans="7:12" ht="12.5">
      <c r="G509" s="3"/>
      <c r="L509" s="4"/>
    </row>
    <row r="510" spans="7:12" ht="12.5">
      <c r="G510" s="3"/>
      <c r="L510" s="4"/>
    </row>
    <row r="511" spans="7:12" ht="12.5">
      <c r="G511" s="3"/>
      <c r="L511" s="4"/>
    </row>
    <row r="512" spans="7:12" ht="12.5">
      <c r="G512" s="3"/>
      <c r="L512" s="4"/>
    </row>
    <row r="513" spans="7:12" ht="12.5">
      <c r="G513" s="3"/>
      <c r="L513" s="4"/>
    </row>
    <row r="514" spans="7:12" ht="12.5">
      <c r="G514" s="3"/>
      <c r="L514" s="4"/>
    </row>
    <row r="515" spans="7:12" ht="12.5">
      <c r="G515" s="3"/>
      <c r="L515" s="4"/>
    </row>
    <row r="516" spans="7:12" ht="12.5">
      <c r="G516" s="3"/>
      <c r="L516" s="4"/>
    </row>
    <row r="517" spans="7:12" ht="12.5">
      <c r="G517" s="3"/>
      <c r="L517" s="4"/>
    </row>
    <row r="518" spans="7:12" ht="12.5">
      <c r="G518" s="3"/>
      <c r="L518" s="4"/>
    </row>
    <row r="519" spans="7:12" ht="12.5">
      <c r="G519" s="3"/>
      <c r="L519" s="4"/>
    </row>
    <row r="520" spans="7:12" ht="12.5">
      <c r="G520" s="3"/>
      <c r="L520" s="4"/>
    </row>
    <row r="521" spans="7:12" ht="12.5">
      <c r="G521" s="3"/>
      <c r="L521" s="4"/>
    </row>
    <row r="522" spans="7:12" ht="12.5">
      <c r="G522" s="3"/>
      <c r="L522" s="4"/>
    </row>
    <row r="523" spans="7:12" ht="12.5">
      <c r="G523" s="3"/>
      <c r="L523" s="4"/>
    </row>
    <row r="524" spans="7:12" ht="12.5">
      <c r="G524" s="3"/>
      <c r="L524" s="4"/>
    </row>
    <row r="525" spans="7:12" ht="12.5">
      <c r="G525" s="3"/>
      <c r="L525" s="4"/>
    </row>
    <row r="526" spans="7:12" ht="12.5">
      <c r="G526" s="3"/>
      <c r="L526" s="4"/>
    </row>
    <row r="527" spans="7:12" ht="12.5">
      <c r="G527" s="3"/>
      <c r="L527" s="4"/>
    </row>
    <row r="528" spans="7:12" ht="12.5">
      <c r="G528" s="3"/>
      <c r="L528" s="4"/>
    </row>
    <row r="529" spans="7:12" ht="12.5">
      <c r="G529" s="3"/>
      <c r="L529" s="4"/>
    </row>
    <row r="530" spans="7:12" ht="12.5">
      <c r="G530" s="3"/>
      <c r="L530" s="4"/>
    </row>
    <row r="531" spans="7:12" ht="12.5">
      <c r="G531" s="3"/>
      <c r="L531" s="4"/>
    </row>
    <row r="532" spans="7:12" ht="12.5">
      <c r="G532" s="3"/>
      <c r="L532" s="4"/>
    </row>
    <row r="533" spans="7:12" ht="12.5">
      <c r="G533" s="3"/>
      <c r="L533" s="4"/>
    </row>
    <row r="534" spans="7:12" ht="12.5">
      <c r="G534" s="3"/>
      <c r="L534" s="4"/>
    </row>
    <row r="535" spans="7:12" ht="12.5">
      <c r="G535" s="3"/>
      <c r="L535" s="4"/>
    </row>
    <row r="536" spans="7:12" ht="12.5">
      <c r="G536" s="3"/>
      <c r="L536" s="4"/>
    </row>
    <row r="537" spans="7:12" ht="12.5">
      <c r="G537" s="3"/>
      <c r="L537" s="4"/>
    </row>
    <row r="538" spans="7:12" ht="12.5">
      <c r="G538" s="3"/>
      <c r="L538" s="4"/>
    </row>
    <row r="539" spans="7:12" ht="12.5">
      <c r="G539" s="3"/>
      <c r="L539" s="4"/>
    </row>
    <row r="540" spans="7:12" ht="12.5">
      <c r="G540" s="3"/>
      <c r="L540" s="4"/>
    </row>
    <row r="541" spans="7:12" ht="12.5">
      <c r="G541" s="3"/>
      <c r="L541" s="4"/>
    </row>
    <row r="542" spans="7:12" ht="12.5">
      <c r="G542" s="3"/>
      <c r="L542" s="4"/>
    </row>
    <row r="543" spans="7:12" ht="12.5">
      <c r="G543" s="3"/>
      <c r="L543" s="4"/>
    </row>
    <row r="544" spans="7:12" ht="12.5">
      <c r="G544" s="3"/>
      <c r="L544" s="4"/>
    </row>
    <row r="545" spans="7:12" ht="12.5">
      <c r="G545" s="3"/>
      <c r="L545" s="4"/>
    </row>
    <row r="546" spans="7:12" ht="12.5">
      <c r="G546" s="3"/>
      <c r="L546" s="4"/>
    </row>
    <row r="547" spans="7:12" ht="12.5">
      <c r="G547" s="3"/>
      <c r="L547" s="4"/>
    </row>
    <row r="548" spans="7:12" ht="12.5">
      <c r="G548" s="3"/>
      <c r="L548" s="4"/>
    </row>
    <row r="549" spans="7:12" ht="12.5">
      <c r="G549" s="3"/>
      <c r="L549" s="4"/>
    </row>
    <row r="550" spans="7:12" ht="12.5">
      <c r="G550" s="3"/>
      <c r="L550" s="4"/>
    </row>
    <row r="551" spans="7:12" ht="12.5">
      <c r="G551" s="3"/>
      <c r="L551" s="4"/>
    </row>
    <row r="552" spans="7:12" ht="12.5">
      <c r="G552" s="3"/>
      <c r="L552" s="4"/>
    </row>
    <row r="553" spans="7:12" ht="12.5">
      <c r="G553" s="3"/>
      <c r="L553" s="4"/>
    </row>
    <row r="554" spans="7:12" ht="12.5">
      <c r="G554" s="3"/>
      <c r="L554" s="4"/>
    </row>
    <row r="555" spans="7:12" ht="12.5">
      <c r="G555" s="3"/>
      <c r="L555" s="4"/>
    </row>
    <row r="556" spans="7:12" ht="12.5">
      <c r="G556" s="3"/>
      <c r="L556" s="4"/>
    </row>
    <row r="557" spans="7:12" ht="12.5">
      <c r="G557" s="3"/>
      <c r="L557" s="4"/>
    </row>
    <row r="558" spans="7:12" ht="12.5">
      <c r="G558" s="3"/>
      <c r="L558" s="4"/>
    </row>
    <row r="559" spans="7:12" ht="12.5">
      <c r="G559" s="3"/>
      <c r="L559" s="4"/>
    </row>
    <row r="560" spans="7:12" ht="12.5">
      <c r="G560" s="3"/>
      <c r="L560" s="4"/>
    </row>
    <row r="561" spans="7:12" ht="12.5">
      <c r="G561" s="3"/>
      <c r="L561" s="4"/>
    </row>
    <row r="562" spans="7:12" ht="12.5">
      <c r="G562" s="3"/>
      <c r="L562" s="4"/>
    </row>
    <row r="563" spans="7:12" ht="12.5">
      <c r="G563" s="3"/>
      <c r="L563" s="4"/>
    </row>
    <row r="564" spans="7:12" ht="12.5">
      <c r="G564" s="3"/>
      <c r="L564" s="4"/>
    </row>
    <row r="565" spans="7:12" ht="12.5">
      <c r="G565" s="3"/>
      <c r="L565" s="4"/>
    </row>
    <row r="566" spans="7:12" ht="12.5">
      <c r="G566" s="3"/>
      <c r="L566" s="4"/>
    </row>
    <row r="567" spans="7:12" ht="12.5">
      <c r="G567" s="3"/>
      <c r="L567" s="4"/>
    </row>
    <row r="568" spans="7:12" ht="12.5">
      <c r="G568" s="3"/>
      <c r="L568" s="4"/>
    </row>
    <row r="569" spans="7:12" ht="12.5">
      <c r="G569" s="3"/>
      <c r="L569" s="4"/>
    </row>
    <row r="570" spans="7:12" ht="12.5">
      <c r="G570" s="3"/>
      <c r="L570" s="4"/>
    </row>
    <row r="571" spans="7:12" ht="12.5">
      <c r="G571" s="3"/>
      <c r="L571" s="4"/>
    </row>
    <row r="572" spans="7:12" ht="12.5">
      <c r="G572" s="3"/>
      <c r="L572" s="4"/>
    </row>
    <row r="573" spans="7:12" ht="12.5">
      <c r="G573" s="3"/>
      <c r="L573" s="4"/>
    </row>
    <row r="574" spans="7:12" ht="12.5">
      <c r="G574" s="3"/>
      <c r="L574" s="4"/>
    </row>
    <row r="575" spans="7:12" ht="12.5">
      <c r="G575" s="3"/>
      <c r="L575" s="4"/>
    </row>
    <row r="576" spans="7:12" ht="12.5">
      <c r="G576" s="3"/>
      <c r="L576" s="4"/>
    </row>
    <row r="577" spans="7:12" ht="12.5">
      <c r="G577" s="3"/>
      <c r="L577" s="4"/>
    </row>
    <row r="578" spans="7:12" ht="12.5">
      <c r="G578" s="3"/>
      <c r="L578" s="4"/>
    </row>
    <row r="579" spans="7:12" ht="12.5">
      <c r="G579" s="3"/>
      <c r="L579" s="4"/>
    </row>
    <row r="580" spans="7:12" ht="12.5">
      <c r="G580" s="3"/>
      <c r="L580" s="4"/>
    </row>
    <row r="581" spans="7:12" ht="12.5">
      <c r="G581" s="3"/>
      <c r="L581" s="4"/>
    </row>
    <row r="582" spans="7:12" ht="12.5">
      <c r="G582" s="3"/>
      <c r="L582" s="4"/>
    </row>
    <row r="583" spans="7:12" ht="12.5">
      <c r="G583" s="3"/>
      <c r="L583" s="4"/>
    </row>
    <row r="584" spans="7:12" ht="12.5">
      <c r="G584" s="3"/>
      <c r="L584" s="4"/>
    </row>
    <row r="585" spans="7:12" ht="12.5">
      <c r="G585" s="3"/>
      <c r="L585" s="4"/>
    </row>
    <row r="586" spans="7:12" ht="12.5">
      <c r="G586" s="3"/>
      <c r="L586" s="4"/>
    </row>
    <row r="587" spans="7:12" ht="12.5">
      <c r="G587" s="3"/>
      <c r="L587" s="4"/>
    </row>
    <row r="588" spans="7:12" ht="12.5">
      <c r="G588" s="3"/>
      <c r="L588" s="4"/>
    </row>
    <row r="589" spans="7:12" ht="12.5">
      <c r="G589" s="3"/>
      <c r="L589" s="4"/>
    </row>
    <row r="590" spans="7:12" ht="12.5">
      <c r="G590" s="3"/>
      <c r="L590" s="4"/>
    </row>
    <row r="591" spans="7:12" ht="12.5">
      <c r="G591" s="3"/>
      <c r="L591" s="4"/>
    </row>
    <row r="592" spans="7:12" ht="12.5">
      <c r="G592" s="3"/>
      <c r="L592" s="4"/>
    </row>
    <row r="593" spans="7:12" ht="12.5">
      <c r="G593" s="3"/>
      <c r="L593" s="4"/>
    </row>
    <row r="594" spans="7:12" ht="12.5">
      <c r="G594" s="3"/>
      <c r="L594" s="4"/>
    </row>
    <row r="595" spans="7:12" ht="12.5">
      <c r="G595" s="3"/>
      <c r="L595" s="4"/>
    </row>
    <row r="596" spans="7:12" ht="12.5">
      <c r="G596" s="3"/>
      <c r="L596" s="4"/>
    </row>
    <row r="597" spans="7:12" ht="12.5">
      <c r="G597" s="3"/>
      <c r="L597" s="4"/>
    </row>
    <row r="598" spans="7:12" ht="12.5">
      <c r="G598" s="3"/>
      <c r="L598" s="4"/>
    </row>
    <row r="599" spans="7:12" ht="12.5">
      <c r="G599" s="3"/>
      <c r="L599" s="4"/>
    </row>
    <row r="600" spans="7:12" ht="12.5">
      <c r="G600" s="3"/>
      <c r="L600" s="4"/>
    </row>
    <row r="601" spans="7:12" ht="12.5">
      <c r="G601" s="3"/>
      <c r="L601" s="4"/>
    </row>
    <row r="602" spans="7:12" ht="12.5">
      <c r="G602" s="3"/>
      <c r="L602" s="4"/>
    </row>
    <row r="603" spans="7:12" ht="12.5">
      <c r="G603" s="3"/>
      <c r="L603" s="4"/>
    </row>
    <row r="604" spans="7:12" ht="12.5">
      <c r="G604" s="3"/>
      <c r="L604" s="4"/>
    </row>
    <row r="605" spans="7:12" ht="12.5">
      <c r="G605" s="3"/>
      <c r="L605" s="4"/>
    </row>
    <row r="606" spans="7:12" ht="12.5">
      <c r="G606" s="3"/>
      <c r="L606" s="4"/>
    </row>
    <row r="607" spans="7:12" ht="12.5">
      <c r="G607" s="3"/>
      <c r="L607" s="4"/>
    </row>
    <row r="608" spans="7:12" ht="12.5">
      <c r="G608" s="3"/>
      <c r="L608" s="4"/>
    </row>
    <row r="609" spans="7:12" ht="12.5">
      <c r="G609" s="3"/>
      <c r="L609" s="4"/>
    </row>
    <row r="610" spans="7:12" ht="12.5">
      <c r="G610" s="3"/>
      <c r="L610" s="4"/>
    </row>
    <row r="611" spans="7:12" ht="12.5">
      <c r="G611" s="3"/>
      <c r="L611" s="4"/>
    </row>
    <row r="612" spans="7:12" ht="12.5">
      <c r="G612" s="3"/>
      <c r="L612" s="4"/>
    </row>
    <row r="613" spans="7:12" ht="12.5">
      <c r="G613" s="3"/>
      <c r="L613" s="4"/>
    </row>
    <row r="614" spans="7:12" ht="12.5">
      <c r="G614" s="3"/>
      <c r="L614" s="4"/>
    </row>
    <row r="615" spans="7:12" ht="12.5">
      <c r="G615" s="3"/>
      <c r="L615" s="4"/>
    </row>
    <row r="616" spans="7:12" ht="12.5">
      <c r="G616" s="3"/>
      <c r="L616" s="4"/>
    </row>
    <row r="617" spans="7:12" ht="12.5">
      <c r="G617" s="3"/>
      <c r="L617" s="4"/>
    </row>
    <row r="618" spans="7:12" ht="12.5">
      <c r="G618" s="3"/>
      <c r="L618" s="4"/>
    </row>
    <row r="619" spans="7:12" ht="12.5">
      <c r="G619" s="3"/>
      <c r="L619" s="4"/>
    </row>
    <row r="620" spans="7:12" ht="12.5">
      <c r="G620" s="3"/>
      <c r="L620" s="4"/>
    </row>
    <row r="621" spans="7:12" ht="12.5">
      <c r="G621" s="3"/>
      <c r="L621" s="4"/>
    </row>
    <row r="622" spans="7:12" ht="12.5">
      <c r="G622" s="3"/>
      <c r="L622" s="4"/>
    </row>
    <row r="623" spans="7:12" ht="12.5">
      <c r="G623" s="3"/>
      <c r="L623" s="4"/>
    </row>
    <row r="624" spans="7:12" ht="12.5">
      <c r="G624" s="3"/>
      <c r="L624" s="4"/>
    </row>
    <row r="625" spans="7:12" ht="12.5">
      <c r="G625" s="3"/>
      <c r="L625" s="4"/>
    </row>
    <row r="626" spans="7:12" ht="12.5">
      <c r="G626" s="3"/>
      <c r="L626" s="4"/>
    </row>
    <row r="627" spans="7:12" ht="12.5">
      <c r="G627" s="3"/>
      <c r="L627" s="4"/>
    </row>
    <row r="628" spans="7:12" ht="12.5">
      <c r="G628" s="3"/>
      <c r="L628" s="4"/>
    </row>
    <row r="629" spans="7:12" ht="12.5">
      <c r="G629" s="3"/>
      <c r="L629" s="4"/>
    </row>
    <row r="630" spans="7:12" ht="12.5">
      <c r="G630" s="3"/>
      <c r="L630" s="4"/>
    </row>
    <row r="631" spans="7:12" ht="12.5">
      <c r="G631" s="3"/>
      <c r="L631" s="4"/>
    </row>
    <row r="632" spans="7:12" ht="12.5">
      <c r="G632" s="3"/>
      <c r="L632" s="4"/>
    </row>
    <row r="633" spans="7:12" ht="12.5">
      <c r="G633" s="3"/>
      <c r="L633" s="4"/>
    </row>
    <row r="634" spans="7:12" ht="12.5">
      <c r="G634" s="3"/>
      <c r="L634" s="4"/>
    </row>
    <row r="635" spans="7:12" ht="12.5">
      <c r="G635" s="3"/>
      <c r="L635" s="4"/>
    </row>
    <row r="636" spans="7:12" ht="12.5">
      <c r="G636" s="3"/>
      <c r="L636" s="4"/>
    </row>
    <row r="637" spans="7:12" ht="12.5">
      <c r="G637" s="3"/>
      <c r="L637" s="4"/>
    </row>
    <row r="638" spans="7:12" ht="12.5">
      <c r="G638" s="3"/>
      <c r="L638" s="4"/>
    </row>
    <row r="639" spans="7:12" ht="12.5">
      <c r="G639" s="3"/>
      <c r="L639" s="4"/>
    </row>
    <row r="640" spans="7:12" ht="12.5">
      <c r="G640" s="3"/>
      <c r="L640" s="4"/>
    </row>
    <row r="641" spans="7:12" ht="12.5">
      <c r="G641" s="3"/>
      <c r="L641" s="4"/>
    </row>
    <row r="642" spans="7:12" ht="12.5">
      <c r="G642" s="3"/>
      <c r="L642" s="4"/>
    </row>
    <row r="643" spans="7:12" ht="12.5">
      <c r="G643" s="3"/>
      <c r="L643" s="4"/>
    </row>
    <row r="644" spans="7:12" ht="12.5">
      <c r="G644" s="3"/>
      <c r="L644" s="4"/>
    </row>
    <row r="645" spans="7:12" ht="12.5">
      <c r="G645" s="3"/>
      <c r="L645" s="4"/>
    </row>
    <row r="646" spans="7:12" ht="12.5">
      <c r="G646" s="3"/>
      <c r="L646" s="4"/>
    </row>
    <row r="647" spans="7:12" ht="12.5">
      <c r="G647" s="3"/>
      <c r="L647" s="4"/>
    </row>
    <row r="648" spans="7:12" ht="12.5">
      <c r="G648" s="3"/>
      <c r="L648" s="4"/>
    </row>
    <row r="649" spans="7:12" ht="12.5">
      <c r="G649" s="3"/>
      <c r="L649" s="4"/>
    </row>
    <row r="650" spans="7:12" ht="12.5">
      <c r="G650" s="3"/>
      <c r="L650" s="4"/>
    </row>
    <row r="651" spans="7:12" ht="12.5">
      <c r="G651" s="3"/>
      <c r="L651" s="4"/>
    </row>
    <row r="652" spans="7:12" ht="12.5">
      <c r="G652" s="3"/>
      <c r="L652" s="4"/>
    </row>
    <row r="653" spans="7:12" ht="12.5">
      <c r="G653" s="3"/>
      <c r="L653" s="4"/>
    </row>
    <row r="654" spans="7:12" ht="12.5">
      <c r="G654" s="3"/>
      <c r="L654" s="4"/>
    </row>
    <row r="655" spans="7:12" ht="12.5">
      <c r="G655" s="3"/>
      <c r="L655" s="4"/>
    </row>
    <row r="656" spans="7:12" ht="12.5">
      <c r="G656" s="3"/>
      <c r="L656" s="4"/>
    </row>
    <row r="657" spans="7:12" ht="12.5">
      <c r="G657" s="3"/>
      <c r="L657" s="4"/>
    </row>
    <row r="658" spans="7:12" ht="12.5">
      <c r="G658" s="3"/>
      <c r="L658" s="4"/>
    </row>
    <row r="659" spans="7:12" ht="12.5">
      <c r="G659" s="3"/>
      <c r="L659" s="4"/>
    </row>
    <row r="660" spans="7:12" ht="12.5">
      <c r="G660" s="3"/>
      <c r="L660" s="4"/>
    </row>
    <row r="661" spans="7:12" ht="12.5">
      <c r="G661" s="3"/>
      <c r="L661" s="4"/>
    </row>
    <row r="662" spans="7:12" ht="12.5">
      <c r="G662" s="3"/>
      <c r="L662" s="4"/>
    </row>
    <row r="663" spans="7:12" ht="12.5">
      <c r="G663" s="3"/>
      <c r="L663" s="4"/>
    </row>
    <row r="664" spans="7:12" ht="12.5">
      <c r="G664" s="3"/>
      <c r="L664" s="4"/>
    </row>
    <row r="665" spans="7:12" ht="12.5">
      <c r="G665" s="3"/>
      <c r="L665" s="4"/>
    </row>
    <row r="666" spans="7:12" ht="12.5">
      <c r="G666" s="3"/>
      <c r="L666" s="4"/>
    </row>
    <row r="667" spans="7:12" ht="12.5">
      <c r="G667" s="3"/>
      <c r="L667" s="4"/>
    </row>
    <row r="668" spans="7:12" ht="12.5">
      <c r="G668" s="3"/>
      <c r="L668" s="4"/>
    </row>
    <row r="669" spans="7:12" ht="12.5">
      <c r="G669" s="3"/>
      <c r="L669" s="4"/>
    </row>
    <row r="670" spans="7:12" ht="12.5">
      <c r="G670" s="3"/>
      <c r="L670" s="4"/>
    </row>
    <row r="671" spans="7:12" ht="12.5">
      <c r="G671" s="3"/>
      <c r="L671" s="4"/>
    </row>
    <row r="672" spans="7:12" ht="12.5">
      <c r="G672" s="3"/>
      <c r="L672" s="4"/>
    </row>
    <row r="673" spans="7:12" ht="12.5">
      <c r="G673" s="3"/>
      <c r="L673" s="4"/>
    </row>
    <row r="674" spans="7:12" ht="12.5">
      <c r="G674" s="3"/>
      <c r="L674" s="4"/>
    </row>
    <row r="675" spans="7:12" ht="12.5">
      <c r="G675" s="3"/>
      <c r="L675" s="4"/>
    </row>
    <row r="676" spans="7:12" ht="12.5">
      <c r="G676" s="3"/>
      <c r="L676" s="4"/>
    </row>
    <row r="677" spans="7:12" ht="12.5">
      <c r="G677" s="3"/>
      <c r="L677" s="4"/>
    </row>
    <row r="678" spans="7:12" ht="12.5">
      <c r="G678" s="3"/>
      <c r="L678" s="4"/>
    </row>
    <row r="679" spans="7:12" ht="12.5">
      <c r="G679" s="3"/>
      <c r="L679" s="4"/>
    </row>
    <row r="680" spans="7:12" ht="12.5">
      <c r="G680" s="3"/>
      <c r="L680" s="4"/>
    </row>
    <row r="681" spans="7:12" ht="12.5">
      <c r="G681" s="3"/>
      <c r="L681" s="4"/>
    </row>
    <row r="682" spans="7:12" ht="12.5">
      <c r="G682" s="3"/>
      <c r="L682" s="4"/>
    </row>
    <row r="683" spans="7:12" ht="12.5">
      <c r="G683" s="3"/>
      <c r="L683" s="4"/>
    </row>
    <row r="684" spans="7:12" ht="12.5">
      <c r="G684" s="3"/>
      <c r="L684" s="4"/>
    </row>
    <row r="685" spans="7:12" ht="12.5">
      <c r="G685" s="3"/>
      <c r="L685" s="4"/>
    </row>
    <row r="686" spans="7:12" ht="12.5">
      <c r="G686" s="3"/>
      <c r="L686" s="4"/>
    </row>
    <row r="687" spans="7:12" ht="12.5">
      <c r="G687" s="3"/>
      <c r="L687" s="4"/>
    </row>
    <row r="688" spans="7:12" ht="12.5">
      <c r="G688" s="3"/>
      <c r="L688" s="4"/>
    </row>
    <row r="689" spans="7:12" ht="12.5">
      <c r="G689" s="3"/>
      <c r="L689" s="4"/>
    </row>
    <row r="690" spans="7:12" ht="12.5">
      <c r="G690" s="3"/>
      <c r="L690" s="4"/>
    </row>
    <row r="691" spans="7:12" ht="12.5">
      <c r="G691" s="3"/>
      <c r="L691" s="4"/>
    </row>
    <row r="692" spans="7:12" ht="12.5">
      <c r="G692" s="3"/>
      <c r="L692" s="4"/>
    </row>
    <row r="693" spans="7:12" ht="12.5">
      <c r="G693" s="3"/>
      <c r="L693" s="4"/>
    </row>
    <row r="694" spans="7:12" ht="12.5">
      <c r="G694" s="3"/>
      <c r="L694" s="4"/>
    </row>
    <row r="695" spans="7:12" ht="12.5">
      <c r="G695" s="3"/>
      <c r="L695" s="4"/>
    </row>
    <row r="696" spans="7:12" ht="12.5">
      <c r="G696" s="3"/>
      <c r="L696" s="4"/>
    </row>
    <row r="697" spans="7:12" ht="12.5">
      <c r="G697" s="3"/>
      <c r="L697" s="4"/>
    </row>
    <row r="698" spans="7:12" ht="12.5">
      <c r="G698" s="3"/>
      <c r="L698" s="4"/>
    </row>
    <row r="699" spans="7:12" ht="12.5">
      <c r="G699" s="3"/>
      <c r="L699" s="4"/>
    </row>
    <row r="700" spans="7:12" ht="12.5">
      <c r="G700" s="3"/>
      <c r="L700" s="4"/>
    </row>
    <row r="701" spans="7:12" ht="12.5">
      <c r="G701" s="3"/>
      <c r="L701" s="4"/>
    </row>
    <row r="702" spans="7:12" ht="12.5">
      <c r="G702" s="3"/>
      <c r="L702" s="4"/>
    </row>
    <row r="703" spans="7:12" ht="12.5">
      <c r="G703" s="3"/>
      <c r="L703" s="4"/>
    </row>
    <row r="704" spans="7:12" ht="12.5">
      <c r="G704" s="3"/>
      <c r="L704" s="4"/>
    </row>
    <row r="705" spans="7:12" ht="12.5">
      <c r="G705" s="3"/>
      <c r="L705" s="4"/>
    </row>
    <row r="706" spans="7:12" ht="12.5">
      <c r="G706" s="3"/>
      <c r="L706" s="4"/>
    </row>
    <row r="707" spans="7:12" ht="12.5">
      <c r="G707" s="3"/>
      <c r="L707" s="4"/>
    </row>
    <row r="708" spans="7:12" ht="12.5">
      <c r="G708" s="3"/>
      <c r="L708" s="4"/>
    </row>
    <row r="709" spans="7:12" ht="12.5">
      <c r="G709" s="3"/>
      <c r="L709" s="4"/>
    </row>
    <row r="710" spans="7:12" ht="12.5">
      <c r="G710" s="3"/>
      <c r="L710" s="4"/>
    </row>
    <row r="711" spans="7:12" ht="12.5">
      <c r="G711" s="3"/>
      <c r="L711" s="4"/>
    </row>
    <row r="712" spans="7:12" ht="12.5">
      <c r="G712" s="3"/>
      <c r="L712" s="4"/>
    </row>
    <row r="713" spans="7:12" ht="12.5">
      <c r="G713" s="3"/>
      <c r="L713" s="4"/>
    </row>
    <row r="714" spans="7:12" ht="12.5">
      <c r="G714" s="3"/>
      <c r="L714" s="4"/>
    </row>
    <row r="715" spans="7:12" ht="12.5">
      <c r="G715" s="3"/>
      <c r="L715" s="4"/>
    </row>
    <row r="716" spans="7:12" ht="12.5">
      <c r="G716" s="3"/>
      <c r="L716" s="4"/>
    </row>
    <row r="717" spans="7:12" ht="12.5">
      <c r="G717" s="3"/>
      <c r="L717" s="4"/>
    </row>
    <row r="718" spans="7:12" ht="12.5">
      <c r="G718" s="3"/>
      <c r="L718" s="4"/>
    </row>
    <row r="719" spans="7:12" ht="12.5">
      <c r="G719" s="3"/>
      <c r="L719" s="4"/>
    </row>
    <row r="720" spans="7:12" ht="12.5">
      <c r="G720" s="3"/>
      <c r="L720" s="4"/>
    </row>
    <row r="721" spans="7:12" ht="12.5">
      <c r="G721" s="3"/>
      <c r="L721" s="4"/>
    </row>
    <row r="722" spans="7:12" ht="12.5">
      <c r="G722" s="3"/>
      <c r="L722" s="4"/>
    </row>
    <row r="723" spans="7:12" ht="12.5">
      <c r="G723" s="3"/>
      <c r="L723" s="4"/>
    </row>
    <row r="724" spans="7:12" ht="12.5">
      <c r="G724" s="3"/>
      <c r="L724" s="4"/>
    </row>
    <row r="725" spans="7:12" ht="12.5">
      <c r="G725" s="3"/>
      <c r="L725" s="4"/>
    </row>
    <row r="726" spans="7:12" ht="12.5">
      <c r="G726" s="3"/>
      <c r="L726" s="4"/>
    </row>
    <row r="727" spans="7:12" ht="12.5">
      <c r="G727" s="3"/>
      <c r="L727" s="4"/>
    </row>
    <row r="728" spans="7:12" ht="12.5">
      <c r="G728" s="3"/>
      <c r="L728" s="4"/>
    </row>
    <row r="729" spans="7:12" ht="12.5">
      <c r="G729" s="3"/>
      <c r="L729" s="4"/>
    </row>
    <row r="730" spans="7:12" ht="12.5">
      <c r="G730" s="3"/>
      <c r="L730" s="4"/>
    </row>
    <row r="731" spans="7:12" ht="12.5">
      <c r="G731" s="3"/>
      <c r="L731" s="4"/>
    </row>
    <row r="732" spans="7:12" ht="12.5">
      <c r="G732" s="3"/>
      <c r="L732" s="4"/>
    </row>
    <row r="733" spans="7:12" ht="12.5">
      <c r="G733" s="3"/>
      <c r="L733" s="4"/>
    </row>
    <row r="734" spans="7:12" ht="12.5">
      <c r="G734" s="3"/>
      <c r="L734" s="4"/>
    </row>
    <row r="735" spans="7:12" ht="12.5">
      <c r="G735" s="3"/>
      <c r="L735" s="4"/>
    </row>
    <row r="736" spans="7:12" ht="12.5">
      <c r="G736" s="3"/>
      <c r="L736" s="4"/>
    </row>
    <row r="737" spans="7:12" ht="12.5">
      <c r="G737" s="3"/>
      <c r="L737" s="4"/>
    </row>
    <row r="738" spans="7:12" ht="12.5">
      <c r="G738" s="3"/>
      <c r="L738" s="4"/>
    </row>
    <row r="739" spans="7:12" ht="12.5">
      <c r="G739" s="3"/>
      <c r="L739" s="4"/>
    </row>
    <row r="740" spans="7:12" ht="12.5">
      <c r="G740" s="3"/>
      <c r="L740" s="4"/>
    </row>
    <row r="741" spans="7:12" ht="12.5">
      <c r="G741" s="3"/>
      <c r="L741" s="4"/>
    </row>
    <row r="742" spans="7:12" ht="12.5">
      <c r="G742" s="3"/>
      <c r="L742" s="4"/>
    </row>
    <row r="743" spans="7:12" ht="12.5">
      <c r="G743" s="3"/>
      <c r="L743" s="4"/>
    </row>
    <row r="744" spans="7:12" ht="12.5">
      <c r="G744" s="3"/>
      <c r="L744" s="4"/>
    </row>
    <row r="745" spans="7:12" ht="12.5">
      <c r="G745" s="3"/>
      <c r="L745" s="4"/>
    </row>
    <row r="746" spans="7:12" ht="12.5">
      <c r="G746" s="3"/>
      <c r="L746" s="4"/>
    </row>
    <row r="747" spans="7:12" ht="12.5">
      <c r="G747" s="3"/>
      <c r="L747" s="4"/>
    </row>
    <row r="748" spans="7:12" ht="12.5">
      <c r="G748" s="3"/>
      <c r="L748" s="4"/>
    </row>
    <row r="749" spans="7:12" ht="12.5">
      <c r="G749" s="3"/>
      <c r="L749" s="4"/>
    </row>
    <row r="750" spans="7:12" ht="12.5">
      <c r="G750" s="3"/>
      <c r="L750" s="4"/>
    </row>
    <row r="751" spans="7:12" ht="12.5">
      <c r="G751" s="3"/>
      <c r="L751" s="4"/>
    </row>
    <row r="752" spans="7:12" ht="12.5">
      <c r="G752" s="3"/>
      <c r="L752" s="4"/>
    </row>
    <row r="753" spans="7:12" ht="12.5">
      <c r="G753" s="3"/>
      <c r="L753" s="4"/>
    </row>
    <row r="754" spans="7:12" ht="12.5">
      <c r="G754" s="3"/>
      <c r="L754" s="4"/>
    </row>
    <row r="755" spans="7:12" ht="12.5">
      <c r="G755" s="3"/>
      <c r="L755" s="4"/>
    </row>
    <row r="756" spans="7:12" ht="12.5">
      <c r="G756" s="3"/>
      <c r="L756" s="4"/>
    </row>
    <row r="757" spans="7:12" ht="12.5">
      <c r="G757" s="3"/>
      <c r="L757" s="4"/>
    </row>
    <row r="758" spans="7:12" ht="12.5">
      <c r="G758" s="3"/>
      <c r="L758" s="4"/>
    </row>
    <row r="759" spans="7:12" ht="12.5">
      <c r="G759" s="3"/>
      <c r="L759" s="4"/>
    </row>
    <row r="760" spans="7:12" ht="12.5">
      <c r="G760" s="3"/>
      <c r="L760" s="4"/>
    </row>
    <row r="761" spans="7:12" ht="12.5">
      <c r="G761" s="3"/>
      <c r="L761" s="4"/>
    </row>
    <row r="762" spans="7:12" ht="12.5">
      <c r="G762" s="3"/>
      <c r="L762" s="4"/>
    </row>
    <row r="763" spans="7:12" ht="12.5">
      <c r="G763" s="3"/>
      <c r="L763" s="4"/>
    </row>
    <row r="764" spans="7:12" ht="12.5">
      <c r="G764" s="3"/>
      <c r="L764" s="4"/>
    </row>
    <row r="765" spans="7:12" ht="12.5">
      <c r="G765" s="3"/>
      <c r="L765" s="4"/>
    </row>
    <row r="766" spans="7:12" ht="12.5">
      <c r="G766" s="3"/>
      <c r="L766" s="4"/>
    </row>
    <row r="767" spans="7:12" ht="12.5">
      <c r="G767" s="3"/>
      <c r="L767" s="4"/>
    </row>
    <row r="768" spans="7:12" ht="12.5">
      <c r="G768" s="3"/>
      <c r="L768" s="4"/>
    </row>
    <row r="769" spans="7:12" ht="12.5">
      <c r="G769" s="3"/>
      <c r="L769" s="4"/>
    </row>
    <row r="770" spans="7:12" ht="12.5">
      <c r="G770" s="3"/>
      <c r="L770" s="4"/>
    </row>
    <row r="771" spans="7:12" ht="12.5">
      <c r="G771" s="3"/>
      <c r="L771" s="4"/>
    </row>
    <row r="772" spans="7:12" ht="12.5">
      <c r="G772" s="3"/>
      <c r="L772" s="4"/>
    </row>
    <row r="773" spans="7:12" ht="12.5">
      <c r="G773" s="3"/>
      <c r="L773" s="4"/>
    </row>
    <row r="774" spans="7:12" ht="12.5">
      <c r="G774" s="3"/>
      <c r="L774" s="4"/>
    </row>
    <row r="775" spans="7:12" ht="12.5">
      <c r="G775" s="3"/>
      <c r="L775" s="4"/>
    </row>
    <row r="776" spans="7:12" ht="12.5">
      <c r="G776" s="3"/>
      <c r="L776" s="4"/>
    </row>
    <row r="777" spans="7:12" ht="12.5">
      <c r="G777" s="3"/>
      <c r="L777" s="4"/>
    </row>
    <row r="778" spans="7:12" ht="12.5">
      <c r="G778" s="3"/>
      <c r="L778" s="4"/>
    </row>
    <row r="779" spans="7:12" ht="12.5">
      <c r="G779" s="3"/>
      <c r="L779" s="4"/>
    </row>
    <row r="780" spans="7:12" ht="12.5">
      <c r="G780" s="3"/>
      <c r="L780" s="4"/>
    </row>
    <row r="781" spans="7:12" ht="12.5">
      <c r="G781" s="3"/>
      <c r="L781" s="4"/>
    </row>
    <row r="782" spans="7:12" ht="12.5">
      <c r="G782" s="3"/>
      <c r="L782" s="4"/>
    </row>
    <row r="783" spans="7:12" ht="12.5">
      <c r="G783" s="3"/>
      <c r="L783" s="4"/>
    </row>
    <row r="784" spans="7:12" ht="12.5">
      <c r="G784" s="3"/>
      <c r="L784" s="4"/>
    </row>
    <row r="785" spans="7:12" ht="12.5">
      <c r="G785" s="3"/>
      <c r="L785" s="4"/>
    </row>
    <row r="786" spans="7:12" ht="12.5">
      <c r="G786" s="3"/>
      <c r="L786" s="4"/>
    </row>
    <row r="787" spans="7:12" ht="12.5">
      <c r="G787" s="3"/>
      <c r="L787" s="4"/>
    </row>
    <row r="788" spans="7:12" ht="12.5">
      <c r="G788" s="3"/>
      <c r="L788" s="4"/>
    </row>
    <row r="789" spans="7:12" ht="12.5">
      <c r="G789" s="3"/>
      <c r="L789" s="4"/>
    </row>
    <row r="790" spans="7:12" ht="12.5">
      <c r="G790" s="3"/>
      <c r="L790" s="4"/>
    </row>
    <row r="791" spans="7:12" ht="12.5">
      <c r="G791" s="3"/>
      <c r="L791" s="4"/>
    </row>
    <row r="792" spans="7:12" ht="12.5">
      <c r="G792" s="3"/>
      <c r="L792" s="4"/>
    </row>
    <row r="793" spans="7:12" ht="12.5">
      <c r="G793" s="3"/>
      <c r="L793" s="4"/>
    </row>
    <row r="794" spans="7:12" ht="12.5">
      <c r="G794" s="3"/>
      <c r="L794" s="4"/>
    </row>
    <row r="795" spans="7:12" ht="12.5">
      <c r="G795" s="3"/>
      <c r="L795" s="4"/>
    </row>
    <row r="796" spans="7:12" ht="12.5">
      <c r="G796" s="3"/>
      <c r="L796" s="4"/>
    </row>
    <row r="797" spans="7:12" ht="12.5">
      <c r="G797" s="3"/>
      <c r="L797" s="4"/>
    </row>
    <row r="798" spans="7:12" ht="12.5">
      <c r="G798" s="3"/>
      <c r="L798" s="4"/>
    </row>
    <row r="799" spans="7:12" ht="12.5">
      <c r="G799" s="3"/>
      <c r="L799" s="4"/>
    </row>
    <row r="800" spans="7:12" ht="12.5">
      <c r="G800" s="3"/>
      <c r="L800" s="4"/>
    </row>
    <row r="801" spans="7:12" ht="12.5">
      <c r="G801" s="3"/>
      <c r="L801" s="4"/>
    </row>
    <row r="802" spans="7:12" ht="12.5">
      <c r="G802" s="3"/>
      <c r="L802" s="4"/>
    </row>
    <row r="803" spans="7:12" ht="12.5">
      <c r="G803" s="3"/>
      <c r="L803" s="4"/>
    </row>
    <row r="804" spans="7:12" ht="12.5">
      <c r="G804" s="3"/>
      <c r="L804" s="4"/>
    </row>
    <row r="805" spans="7:12" ht="12.5">
      <c r="G805" s="3"/>
      <c r="L805" s="4"/>
    </row>
    <row r="806" spans="7:12" ht="12.5">
      <c r="G806" s="3"/>
      <c r="L806" s="4"/>
    </row>
    <row r="807" spans="7:12" ht="12.5">
      <c r="G807" s="3"/>
      <c r="L807" s="4"/>
    </row>
    <row r="808" spans="7:12" ht="12.5">
      <c r="G808" s="3"/>
      <c r="L808" s="4"/>
    </row>
    <row r="809" spans="7:12" ht="12.5">
      <c r="G809" s="3"/>
      <c r="L809" s="4"/>
    </row>
    <row r="810" spans="7:12" ht="12.5">
      <c r="G810" s="3"/>
      <c r="L810" s="4"/>
    </row>
    <row r="811" spans="7:12" ht="12.5">
      <c r="G811" s="3"/>
      <c r="L811" s="4"/>
    </row>
    <row r="812" spans="7:12" ht="12.5">
      <c r="G812" s="3"/>
      <c r="L812" s="4"/>
    </row>
    <row r="813" spans="7:12" ht="12.5">
      <c r="G813" s="3"/>
      <c r="L813" s="4"/>
    </row>
    <row r="814" spans="7:12" ht="12.5">
      <c r="G814" s="3"/>
      <c r="L814" s="4"/>
    </row>
    <row r="815" spans="7:12" ht="12.5">
      <c r="G815" s="3"/>
      <c r="L815" s="4"/>
    </row>
    <row r="816" spans="7:12" ht="12.5">
      <c r="G816" s="3"/>
      <c r="L816" s="4"/>
    </row>
    <row r="817" spans="7:12" ht="12.5">
      <c r="G817" s="3"/>
      <c r="L817" s="4"/>
    </row>
    <row r="818" spans="7:12" ht="12.5">
      <c r="G818" s="3"/>
      <c r="L818" s="4"/>
    </row>
    <row r="819" spans="7:12" ht="12.5">
      <c r="G819" s="3"/>
      <c r="L819" s="4"/>
    </row>
    <row r="820" spans="7:12" ht="12.5">
      <c r="G820" s="3"/>
      <c r="L820" s="4"/>
    </row>
    <row r="821" spans="7:12" ht="12.5">
      <c r="G821" s="3"/>
      <c r="L821" s="4"/>
    </row>
    <row r="822" spans="7:12" ht="12.5">
      <c r="G822" s="3"/>
      <c r="L822" s="4"/>
    </row>
    <row r="823" spans="7:12" ht="12.5">
      <c r="G823" s="3"/>
      <c r="L823" s="4"/>
    </row>
    <row r="824" spans="7:12" ht="12.5">
      <c r="G824" s="3"/>
      <c r="L824" s="4"/>
    </row>
    <row r="825" spans="7:12" ht="12.5">
      <c r="G825" s="3"/>
      <c r="L825" s="4"/>
    </row>
    <row r="826" spans="7:12" ht="12.5">
      <c r="G826" s="3"/>
      <c r="L826" s="4"/>
    </row>
    <row r="827" spans="7:12" ht="12.5">
      <c r="G827" s="3"/>
      <c r="L827" s="4"/>
    </row>
    <row r="828" spans="7:12" ht="12.5">
      <c r="G828" s="3"/>
      <c r="L828" s="4"/>
    </row>
    <row r="829" spans="7:12" ht="12.5">
      <c r="G829" s="3"/>
      <c r="L829" s="4"/>
    </row>
    <row r="830" spans="7:12" ht="12.5">
      <c r="G830" s="3"/>
      <c r="L830" s="4"/>
    </row>
    <row r="831" spans="7:12" ht="12.5">
      <c r="G831" s="3"/>
      <c r="L831" s="4"/>
    </row>
    <row r="832" spans="7:12" ht="12.5">
      <c r="G832" s="3"/>
      <c r="L832" s="4"/>
    </row>
    <row r="833" spans="7:12" ht="12.5">
      <c r="G833" s="3"/>
      <c r="L833" s="4"/>
    </row>
    <row r="834" spans="7:12" ht="12.5">
      <c r="G834" s="3"/>
      <c r="L834" s="4"/>
    </row>
    <row r="835" spans="7:12" ht="12.5">
      <c r="G835" s="3"/>
      <c r="L835" s="4"/>
    </row>
    <row r="836" spans="7:12" ht="12.5">
      <c r="G836" s="3"/>
      <c r="L836" s="4"/>
    </row>
    <row r="837" spans="7:12" ht="12.5">
      <c r="G837" s="3"/>
      <c r="L837" s="4"/>
    </row>
    <row r="838" spans="7:12" ht="12.5">
      <c r="G838" s="3"/>
      <c r="L838" s="4"/>
    </row>
    <row r="839" spans="7:12" ht="12.5">
      <c r="G839" s="3"/>
      <c r="L839" s="4"/>
    </row>
    <row r="840" spans="7:12" ht="12.5">
      <c r="G840" s="3"/>
      <c r="L840" s="4"/>
    </row>
    <row r="841" spans="7:12" ht="12.5">
      <c r="G841" s="3"/>
      <c r="L841" s="4"/>
    </row>
    <row r="842" spans="7:12" ht="12.5">
      <c r="G842" s="3"/>
      <c r="L842" s="4"/>
    </row>
    <row r="843" spans="7:12" ht="12.5">
      <c r="G843" s="3"/>
      <c r="L843" s="4"/>
    </row>
    <row r="844" spans="7:12" ht="12.5">
      <c r="G844" s="3"/>
      <c r="L844" s="4"/>
    </row>
    <row r="845" spans="7:12" ht="12.5">
      <c r="G845" s="3"/>
      <c r="L845" s="4"/>
    </row>
    <row r="846" spans="7:12" ht="12.5">
      <c r="G846" s="3"/>
      <c r="L846" s="4"/>
    </row>
    <row r="847" spans="7:12" ht="12.5">
      <c r="G847" s="3"/>
      <c r="L847" s="4"/>
    </row>
    <row r="848" spans="7:12" ht="12.5">
      <c r="G848" s="3"/>
      <c r="L848" s="4"/>
    </row>
    <row r="849" spans="7:12" ht="12.5">
      <c r="G849" s="3"/>
      <c r="L849" s="4"/>
    </row>
    <row r="850" spans="7:12" ht="12.5">
      <c r="G850" s="3"/>
      <c r="L850" s="4"/>
    </row>
    <row r="851" spans="7:12" ht="12.5">
      <c r="G851" s="3"/>
      <c r="L851" s="4"/>
    </row>
    <row r="852" spans="7:12" ht="12.5">
      <c r="G852" s="3"/>
      <c r="L852" s="4"/>
    </row>
    <row r="853" spans="7:12" ht="12.5">
      <c r="G853" s="3"/>
      <c r="L853" s="4"/>
    </row>
    <row r="854" spans="7:12" ht="12.5">
      <c r="G854" s="3"/>
      <c r="L854" s="4"/>
    </row>
    <row r="855" spans="7:12" ht="12.5">
      <c r="G855" s="3"/>
      <c r="L855" s="4"/>
    </row>
    <row r="856" spans="7:12" ht="12.5">
      <c r="G856" s="3"/>
      <c r="L856" s="4"/>
    </row>
    <row r="857" spans="7:12" ht="12.5">
      <c r="G857" s="3"/>
      <c r="L857" s="4"/>
    </row>
    <row r="858" spans="7:12" ht="12.5">
      <c r="G858" s="3"/>
      <c r="L858" s="4"/>
    </row>
    <row r="859" spans="7:12" ht="12.5">
      <c r="G859" s="3"/>
      <c r="L859" s="4"/>
    </row>
    <row r="860" spans="7:12" ht="12.5">
      <c r="G860" s="3"/>
      <c r="L860" s="4"/>
    </row>
    <row r="861" spans="7:12" ht="12.5">
      <c r="G861" s="3"/>
      <c r="L861" s="4"/>
    </row>
    <row r="862" spans="7:12" ht="12.5">
      <c r="G862" s="3"/>
      <c r="L862" s="4"/>
    </row>
    <row r="863" spans="7:12" ht="12.5">
      <c r="G863" s="3"/>
      <c r="L863" s="4"/>
    </row>
    <row r="864" spans="7:12" ht="12.5">
      <c r="G864" s="3"/>
      <c r="L864" s="4"/>
    </row>
    <row r="865" spans="7:12" ht="12.5">
      <c r="G865" s="3"/>
      <c r="L865" s="4"/>
    </row>
    <row r="866" spans="7:12" ht="12.5">
      <c r="G866" s="3"/>
      <c r="L866" s="4"/>
    </row>
    <row r="867" spans="7:12" ht="12.5">
      <c r="G867" s="3"/>
      <c r="L867" s="4"/>
    </row>
    <row r="868" spans="7:12" ht="12.5">
      <c r="G868" s="3"/>
      <c r="L868" s="4"/>
    </row>
    <row r="869" spans="7:12" ht="12.5">
      <c r="G869" s="3"/>
      <c r="L869" s="4"/>
    </row>
    <row r="870" spans="7:12" ht="12.5">
      <c r="G870" s="3"/>
      <c r="L870" s="4"/>
    </row>
    <row r="871" spans="7:12" ht="12.5">
      <c r="G871" s="3"/>
      <c r="L871" s="4"/>
    </row>
    <row r="872" spans="7:12" ht="12.5">
      <c r="G872" s="3"/>
      <c r="L872" s="4"/>
    </row>
    <row r="873" spans="7:12" ht="12.5">
      <c r="G873" s="3"/>
      <c r="L873" s="4"/>
    </row>
    <row r="874" spans="7:12" ht="12.5">
      <c r="G874" s="3"/>
      <c r="L874" s="4"/>
    </row>
    <row r="875" spans="7:12" ht="12.5">
      <c r="G875" s="3"/>
      <c r="L875" s="4"/>
    </row>
    <row r="876" spans="7:12" ht="12.5">
      <c r="G876" s="3"/>
      <c r="L876" s="4"/>
    </row>
    <row r="877" spans="7:12" ht="12.5">
      <c r="G877" s="3"/>
      <c r="L877" s="4"/>
    </row>
    <row r="878" spans="7:12" ht="12.5">
      <c r="G878" s="3"/>
      <c r="L878" s="4"/>
    </row>
    <row r="879" spans="7:12" ht="12.5">
      <c r="G879" s="3"/>
      <c r="L879" s="4"/>
    </row>
    <row r="880" spans="7:12" ht="12.5">
      <c r="G880" s="3"/>
      <c r="L880" s="4"/>
    </row>
    <row r="881" spans="7:12" ht="12.5">
      <c r="G881" s="3"/>
      <c r="L881" s="4"/>
    </row>
    <row r="882" spans="7:12" ht="12.5">
      <c r="G882" s="3"/>
      <c r="L882" s="4"/>
    </row>
    <row r="883" spans="7:12" ht="12.5">
      <c r="G883" s="3"/>
      <c r="L883" s="4"/>
    </row>
    <row r="884" spans="7:12" ht="12.5">
      <c r="G884" s="3"/>
      <c r="L884" s="4"/>
    </row>
    <row r="885" spans="7:12" ht="12.5">
      <c r="G885" s="3"/>
      <c r="L885" s="4"/>
    </row>
    <row r="886" spans="7:12" ht="12.5">
      <c r="G886" s="3"/>
      <c r="L886" s="4"/>
    </row>
    <row r="887" spans="7:12" ht="12.5">
      <c r="G887" s="3"/>
      <c r="L887" s="4"/>
    </row>
    <row r="888" spans="7:12" ht="12.5">
      <c r="G888" s="3"/>
      <c r="L888" s="4"/>
    </row>
    <row r="889" spans="7:12" ht="12.5">
      <c r="G889" s="3"/>
      <c r="L889" s="4"/>
    </row>
    <row r="890" spans="7:12" ht="12.5">
      <c r="G890" s="3"/>
      <c r="L890" s="4"/>
    </row>
    <row r="891" spans="7:12" ht="12.5">
      <c r="G891" s="3"/>
      <c r="L891" s="4"/>
    </row>
    <row r="892" spans="7:12" ht="12.5">
      <c r="G892" s="3"/>
      <c r="L892" s="4"/>
    </row>
    <row r="893" spans="7:12" ht="12.5">
      <c r="G893" s="3"/>
      <c r="L893" s="4"/>
    </row>
    <row r="894" spans="7:12" ht="12.5">
      <c r="G894" s="3"/>
      <c r="L894" s="4"/>
    </row>
    <row r="895" spans="7:12" ht="12.5">
      <c r="G895" s="3"/>
      <c r="L895" s="4"/>
    </row>
    <row r="896" spans="7:12" ht="12.5">
      <c r="G896" s="3"/>
      <c r="L896" s="4"/>
    </row>
    <row r="897" spans="7:12" ht="12.5">
      <c r="G897" s="3"/>
      <c r="L897" s="4"/>
    </row>
    <row r="898" spans="7:12" ht="12.5">
      <c r="G898" s="3"/>
      <c r="L898" s="4"/>
    </row>
    <row r="899" spans="7:12" ht="12.5">
      <c r="G899" s="3"/>
      <c r="L899" s="4"/>
    </row>
    <row r="900" spans="7:12" ht="12.5">
      <c r="G900" s="3"/>
      <c r="L900" s="4"/>
    </row>
    <row r="901" spans="7:12" ht="12.5">
      <c r="G901" s="3"/>
      <c r="L901" s="4"/>
    </row>
    <row r="902" spans="7:12" ht="12.5">
      <c r="G902" s="3"/>
      <c r="L902" s="4"/>
    </row>
    <row r="903" spans="7:12" ht="12.5">
      <c r="G903" s="3"/>
      <c r="L903" s="4"/>
    </row>
    <row r="904" spans="7:12" ht="12.5">
      <c r="G904" s="3"/>
      <c r="L904" s="4"/>
    </row>
    <row r="905" spans="7:12" ht="12.5">
      <c r="G905" s="3"/>
      <c r="L905" s="4"/>
    </row>
    <row r="906" spans="7:12" ht="12.5">
      <c r="G906" s="3"/>
      <c r="L906" s="4"/>
    </row>
    <row r="907" spans="7:12" ht="12.5">
      <c r="G907" s="3"/>
      <c r="L907" s="4"/>
    </row>
    <row r="908" spans="7:12" ht="12.5">
      <c r="G908" s="3"/>
      <c r="L908" s="4"/>
    </row>
    <row r="909" spans="7:12" ht="12.5">
      <c r="G909" s="3"/>
      <c r="L909" s="4"/>
    </row>
    <row r="910" spans="7:12" ht="12.5">
      <c r="G910" s="3"/>
      <c r="L910" s="4"/>
    </row>
    <row r="911" spans="7:12" ht="12.5">
      <c r="G911" s="3"/>
      <c r="L911" s="4"/>
    </row>
    <row r="912" spans="7:12" ht="12.5">
      <c r="G912" s="3"/>
      <c r="L912" s="4"/>
    </row>
    <row r="913" spans="7:12" ht="12.5">
      <c r="G913" s="3"/>
      <c r="L913" s="4"/>
    </row>
    <row r="914" spans="7:12" ht="12.5">
      <c r="G914" s="3"/>
      <c r="L914" s="4"/>
    </row>
    <row r="915" spans="7:12" ht="12.5">
      <c r="G915" s="3"/>
      <c r="L915" s="4"/>
    </row>
    <row r="916" spans="7:12" ht="12.5">
      <c r="G916" s="3"/>
      <c r="L916" s="4"/>
    </row>
    <row r="917" spans="7:12" ht="12.5">
      <c r="G917" s="3"/>
      <c r="L917" s="4"/>
    </row>
    <row r="918" spans="7:12" ht="12.5">
      <c r="G918" s="3"/>
      <c r="L918" s="4"/>
    </row>
    <row r="919" spans="7:12" ht="12.5">
      <c r="G919" s="3"/>
      <c r="L919" s="4"/>
    </row>
    <row r="920" spans="7:12" ht="12.5">
      <c r="G920" s="3"/>
      <c r="L920" s="4"/>
    </row>
    <row r="921" spans="7:12" ht="12.5">
      <c r="G921" s="3"/>
      <c r="L921" s="4"/>
    </row>
    <row r="922" spans="7:12" ht="12.5">
      <c r="G922" s="3"/>
      <c r="L922" s="4"/>
    </row>
    <row r="923" spans="7:12" ht="12.5">
      <c r="G923" s="3"/>
      <c r="L923" s="4"/>
    </row>
    <row r="924" spans="7:12" ht="12.5">
      <c r="G924" s="3"/>
      <c r="L924" s="4"/>
    </row>
    <row r="925" spans="7:12" ht="12.5">
      <c r="G925" s="3"/>
      <c r="L925" s="4"/>
    </row>
    <row r="926" spans="7:12" ht="12.5">
      <c r="G926" s="3"/>
      <c r="L926" s="4"/>
    </row>
    <row r="927" spans="7:12" ht="12.5">
      <c r="G927" s="3"/>
      <c r="L927" s="4"/>
    </row>
    <row r="928" spans="7:12" ht="12.5">
      <c r="G928" s="3"/>
      <c r="L928" s="4"/>
    </row>
    <row r="929" spans="7:12" ht="12.5">
      <c r="G929" s="3"/>
      <c r="L929" s="4"/>
    </row>
    <row r="930" spans="7:12" ht="12.5">
      <c r="G930" s="3"/>
      <c r="L930" s="4"/>
    </row>
    <row r="931" spans="7:12" ht="12.5">
      <c r="G931" s="3"/>
      <c r="L931" s="4"/>
    </row>
    <row r="932" spans="7:12" ht="12.5">
      <c r="G932" s="3"/>
      <c r="L932" s="4"/>
    </row>
    <row r="933" spans="7:12" ht="12.5">
      <c r="G933" s="3"/>
      <c r="L933" s="4"/>
    </row>
    <row r="934" spans="7:12" ht="12.5">
      <c r="G934" s="3"/>
      <c r="L934" s="4"/>
    </row>
    <row r="935" spans="7:12" ht="12.5">
      <c r="G935" s="3"/>
      <c r="L935" s="4"/>
    </row>
    <row r="936" spans="7:12" ht="12.5">
      <c r="G936" s="3"/>
      <c r="L936" s="4"/>
    </row>
    <row r="937" spans="7:12" ht="12.5">
      <c r="G937" s="3"/>
      <c r="L937" s="4"/>
    </row>
    <row r="938" spans="7:12" ht="12.5">
      <c r="G938" s="3"/>
      <c r="L938" s="4"/>
    </row>
    <row r="939" spans="7:12" ht="12.5">
      <c r="G939" s="3"/>
      <c r="L939" s="4"/>
    </row>
    <row r="940" spans="7:12" ht="12.5">
      <c r="G940" s="3"/>
      <c r="L940" s="4"/>
    </row>
    <row r="941" spans="7:12" ht="12.5">
      <c r="G941" s="3"/>
      <c r="L941" s="4"/>
    </row>
    <row r="942" spans="7:12" ht="12.5">
      <c r="G942" s="3"/>
      <c r="L942" s="4"/>
    </row>
    <row r="943" spans="7:12" ht="12.5">
      <c r="G943" s="3"/>
      <c r="L943" s="4"/>
    </row>
    <row r="944" spans="7:12" ht="12.5">
      <c r="G944" s="3"/>
      <c r="L944" s="4"/>
    </row>
    <row r="945" spans="7:12" ht="12.5">
      <c r="G945" s="3"/>
      <c r="L945" s="4"/>
    </row>
    <row r="946" spans="7:12" ht="12.5">
      <c r="G946" s="3"/>
      <c r="L946" s="4"/>
    </row>
    <row r="947" spans="7:12" ht="12.5">
      <c r="G947" s="3"/>
      <c r="L947" s="4"/>
    </row>
    <row r="948" spans="7:12" ht="12.5">
      <c r="G948" s="3"/>
      <c r="L948" s="4"/>
    </row>
    <row r="949" spans="7:12" ht="12.5">
      <c r="G949" s="3"/>
      <c r="L949" s="4"/>
    </row>
    <row r="950" spans="7:12" ht="12.5">
      <c r="G950" s="3"/>
      <c r="L950" s="4"/>
    </row>
    <row r="951" spans="7:12" ht="12.5">
      <c r="G951" s="3"/>
      <c r="L951" s="4"/>
    </row>
    <row r="952" spans="7:12" ht="12.5">
      <c r="G952" s="3"/>
      <c r="L952" s="4"/>
    </row>
    <row r="953" spans="7:12" ht="12.5">
      <c r="G953" s="3"/>
      <c r="L953" s="4"/>
    </row>
    <row r="954" spans="7:12" ht="12.5">
      <c r="G954" s="3"/>
      <c r="L954" s="4"/>
    </row>
    <row r="955" spans="7:12" ht="12.5">
      <c r="G955" s="3"/>
      <c r="L955" s="4"/>
    </row>
    <row r="956" spans="7:12" ht="12.5">
      <c r="G956" s="3"/>
      <c r="L956" s="4"/>
    </row>
    <row r="957" spans="7:12" ht="12.5">
      <c r="G957" s="3"/>
      <c r="L957" s="4"/>
    </row>
    <row r="958" spans="7:12" ht="12.5">
      <c r="G958" s="3"/>
      <c r="L958" s="4"/>
    </row>
    <row r="959" spans="7:12" ht="12.5">
      <c r="G959" s="3"/>
      <c r="L959" s="4"/>
    </row>
    <row r="960" spans="7:12" ht="12.5">
      <c r="G960" s="3"/>
      <c r="L960" s="4"/>
    </row>
    <row r="961" spans="7:12" ht="12.5">
      <c r="G961" s="3"/>
      <c r="L961" s="4"/>
    </row>
    <row r="962" spans="7:12" ht="12.5">
      <c r="G962" s="3"/>
      <c r="L962" s="4"/>
    </row>
    <row r="963" spans="7:12" ht="12.5">
      <c r="G963" s="3"/>
      <c r="L963" s="4"/>
    </row>
    <row r="964" spans="7:12" ht="12.5">
      <c r="G964" s="3"/>
      <c r="L964" s="4"/>
    </row>
    <row r="965" spans="7:12" ht="12.5">
      <c r="G965" s="3"/>
      <c r="L965" s="4"/>
    </row>
    <row r="966" spans="7:12" ht="12.5">
      <c r="G966" s="3"/>
      <c r="L966" s="4"/>
    </row>
    <row r="967" spans="7:12" ht="12.5">
      <c r="G967" s="3"/>
      <c r="L967" s="4"/>
    </row>
    <row r="968" spans="7:12" ht="12.5">
      <c r="G968" s="3"/>
      <c r="L968" s="4"/>
    </row>
    <row r="969" spans="7:12" ht="12.5">
      <c r="G969" s="3"/>
      <c r="L969" s="4"/>
    </row>
    <row r="970" spans="7:12" ht="12.5">
      <c r="G970" s="3"/>
      <c r="L970" s="4"/>
    </row>
    <row r="971" spans="7:12" ht="12.5">
      <c r="G971" s="3"/>
      <c r="L971" s="4"/>
    </row>
    <row r="972" spans="7:12" ht="12.5">
      <c r="G972" s="3"/>
      <c r="L972" s="4"/>
    </row>
    <row r="973" spans="7:12" ht="12.5">
      <c r="G973" s="3"/>
      <c r="L973" s="4"/>
    </row>
    <row r="974" spans="7:12" ht="12.5">
      <c r="G974" s="3"/>
      <c r="L974" s="4"/>
    </row>
    <row r="975" spans="7:12" ht="12.5">
      <c r="G975" s="3"/>
      <c r="L975" s="4"/>
    </row>
    <row r="976" spans="7:12" ht="12.5">
      <c r="G976" s="3"/>
      <c r="L976" s="4"/>
    </row>
    <row r="977" spans="7:12" ht="12.5">
      <c r="G977" s="3"/>
      <c r="L977" s="4"/>
    </row>
    <row r="978" spans="7:12" ht="12.5">
      <c r="G978" s="3"/>
      <c r="L978" s="4"/>
    </row>
    <row r="979" spans="7:12" ht="12.5">
      <c r="G979" s="3"/>
      <c r="L979" s="4"/>
    </row>
    <row r="980" spans="7:12" ht="12.5">
      <c r="G980" s="3"/>
      <c r="L980" s="4"/>
    </row>
    <row r="981" spans="7:12" ht="12.5">
      <c r="G981" s="3"/>
      <c r="L981" s="4"/>
    </row>
    <row r="982" spans="7:12" ht="12.5">
      <c r="G982" s="3"/>
      <c r="L982" s="4"/>
    </row>
    <row r="983" spans="7:12" ht="12.5">
      <c r="G983" s="3"/>
      <c r="L983" s="4"/>
    </row>
    <row r="984" spans="7:12" ht="12.5">
      <c r="G984" s="3"/>
      <c r="L984" s="4"/>
    </row>
    <row r="985" spans="7:12" ht="12.5">
      <c r="G985" s="3"/>
      <c r="L985" s="4"/>
    </row>
    <row r="986" spans="7:12" ht="12.5">
      <c r="G986" s="3"/>
      <c r="L986" s="4"/>
    </row>
    <row r="987" spans="7:12" ht="12.5">
      <c r="G987" s="3"/>
      <c r="L987" s="4"/>
    </row>
    <row r="988" spans="7:12" ht="12.5">
      <c r="G988" s="3"/>
      <c r="L988" s="4"/>
    </row>
    <row r="989" spans="7:12" ht="12.5">
      <c r="G989" s="3"/>
      <c r="L989" s="4"/>
    </row>
    <row r="990" spans="7:12" ht="12.5">
      <c r="G990" s="3"/>
      <c r="L990" s="4"/>
    </row>
    <row r="991" spans="7:12" ht="12.5">
      <c r="G991" s="3"/>
      <c r="L991" s="4"/>
    </row>
    <row r="992" spans="7:12" ht="12.5">
      <c r="G992" s="3"/>
      <c r="L992" s="4"/>
    </row>
    <row r="993" spans="7:12" ht="12.5">
      <c r="G993" s="3"/>
      <c r="L993" s="4"/>
    </row>
    <row r="994" spans="7:12" ht="12.5">
      <c r="G994" s="3"/>
      <c r="L994" s="4"/>
    </row>
    <row r="995" spans="7:12" ht="12.5">
      <c r="G995" s="3"/>
      <c r="L995" s="4"/>
    </row>
    <row r="996" spans="7:12" ht="12.5">
      <c r="G996" s="3"/>
      <c r="L996" s="4"/>
    </row>
    <row r="997" spans="7:12" ht="12.5">
      <c r="G997" s="3"/>
      <c r="L997" s="4"/>
    </row>
    <row r="998" spans="7:12" ht="12.5">
      <c r="G998" s="3"/>
      <c r="L998" s="4"/>
    </row>
    <row r="999" spans="7:12" ht="12.5">
      <c r="G999" s="3"/>
      <c r="L999" s="4"/>
    </row>
    <row r="1000" spans="7:12" ht="12.5">
      <c r="G1000" s="3"/>
      <c r="L1000" s="4"/>
    </row>
  </sheetData>
  <phoneticPr fontId="4" type="noConversion"/>
  <dataValidations count="2">
    <dataValidation type="custom" allowBlank="1" showDropDown="1" sqref="D2:E64" xr:uid="{00000000-0002-0000-0000-000000000000}">
      <formula1>OR(TIMEVALUE(TEXT(D2, "hh:mm:ss"))=D2, AND(ISNUMBER(D2), LEFT(CELL("format", D2))="D"))</formula1>
    </dataValidation>
    <dataValidation type="custom" allowBlank="1" showDropDown="1" sqref="A2:A64" xr:uid="{00000000-0002-0000-0000-000001000000}">
      <formula1>AND(ISNUMBER(A2),(NOT(OR(NOT(ISERROR(DATEVALUE(A2))), AND(ISNUMBER(A2), LEFT(CELL("format", A2))="D")))))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32472-6C80-473C-A3EB-46A68D82F3C6}">
  <dimension ref="A1:H30"/>
  <sheetViews>
    <sheetView tabSelected="1" zoomScaleNormal="100" workbookViewId="0">
      <selection activeCell="C3" sqref="C3"/>
    </sheetView>
  </sheetViews>
  <sheetFormatPr baseColWidth="10" defaultRowHeight="12.5"/>
  <cols>
    <col min="1" max="1" width="12.36328125" bestFit="1" customWidth="1"/>
    <col min="2" max="2" width="35.6328125" bestFit="1" customWidth="1"/>
    <col min="4" max="4" width="12.36328125" bestFit="1" customWidth="1"/>
    <col min="5" max="5" width="47.453125" bestFit="1" customWidth="1"/>
    <col min="7" max="7" width="12.36328125" bestFit="1" customWidth="1"/>
    <col min="8" max="8" width="40.54296875" bestFit="1" customWidth="1"/>
  </cols>
  <sheetData>
    <row r="1" spans="1:8">
      <c r="A1" s="14" t="s">
        <v>204</v>
      </c>
      <c r="B1" s="14"/>
      <c r="D1" s="15" t="s">
        <v>206</v>
      </c>
      <c r="E1" s="15"/>
      <c r="G1" s="16" t="s">
        <v>207</v>
      </c>
      <c r="H1" s="16"/>
    </row>
    <row r="2" spans="1:8">
      <c r="A2" s="10" t="s">
        <v>205</v>
      </c>
      <c r="B2" s="10" t="s">
        <v>8</v>
      </c>
      <c r="D2" s="10" t="s">
        <v>205</v>
      </c>
      <c r="E2" s="10" t="s">
        <v>8</v>
      </c>
      <c r="G2" s="10" t="s">
        <v>205</v>
      </c>
      <c r="H2" s="10" t="s">
        <v>8</v>
      </c>
    </row>
    <row r="3" spans="1:8" ht="14">
      <c r="A3" s="18">
        <v>1</v>
      </c>
      <c r="B3" s="21" t="s">
        <v>13</v>
      </c>
      <c r="D3" s="18">
        <v>7</v>
      </c>
      <c r="E3" s="21" t="s">
        <v>29</v>
      </c>
      <c r="G3" s="18">
        <v>2</v>
      </c>
      <c r="H3" s="21" t="s">
        <v>16</v>
      </c>
    </row>
    <row r="4" spans="1:8" ht="14">
      <c r="A4" s="19">
        <v>14</v>
      </c>
      <c r="B4" s="22" t="s">
        <v>49</v>
      </c>
      <c r="D4" s="19">
        <v>15</v>
      </c>
      <c r="E4" s="22" t="s">
        <v>46</v>
      </c>
      <c r="G4" s="19">
        <v>3</v>
      </c>
      <c r="H4" s="22" t="s">
        <v>18</v>
      </c>
    </row>
    <row r="5" spans="1:8" ht="14">
      <c r="A5" s="20">
        <v>18</v>
      </c>
      <c r="B5" s="23" t="s">
        <v>57</v>
      </c>
      <c r="D5" s="20">
        <v>17</v>
      </c>
      <c r="E5" s="23" t="s">
        <v>55</v>
      </c>
      <c r="G5" s="20">
        <v>4</v>
      </c>
      <c r="H5" s="23" t="s">
        <v>23</v>
      </c>
    </row>
    <row r="6" spans="1:8" ht="14">
      <c r="A6" s="19">
        <v>19</v>
      </c>
      <c r="B6" s="22" t="s">
        <v>59</v>
      </c>
      <c r="D6" s="19">
        <v>20</v>
      </c>
      <c r="E6" s="22" t="s">
        <v>61</v>
      </c>
      <c r="G6" s="19">
        <v>9</v>
      </c>
      <c r="H6" s="22" t="s">
        <v>35</v>
      </c>
    </row>
    <row r="7" spans="1:8" ht="14">
      <c r="A7" s="18">
        <v>35</v>
      </c>
      <c r="B7" s="21" t="s">
        <v>93</v>
      </c>
      <c r="D7" s="18">
        <v>24</v>
      </c>
      <c r="E7" s="21" t="s">
        <v>70</v>
      </c>
      <c r="G7" s="18">
        <v>10</v>
      </c>
      <c r="H7" s="21" t="s">
        <v>38</v>
      </c>
    </row>
    <row r="8" spans="1:8" ht="14">
      <c r="A8" s="19">
        <v>40</v>
      </c>
      <c r="B8" s="22" t="s">
        <v>22</v>
      </c>
      <c r="D8" s="19">
        <v>29</v>
      </c>
      <c r="E8" s="22" t="s">
        <v>79</v>
      </c>
      <c r="G8" s="19">
        <v>11</v>
      </c>
      <c r="H8" s="22" t="s">
        <v>41</v>
      </c>
    </row>
    <row r="9" spans="1:8" ht="14">
      <c r="A9" s="20">
        <v>48</v>
      </c>
      <c r="B9" s="23" t="s">
        <v>36</v>
      </c>
      <c r="D9" s="20">
        <v>30</v>
      </c>
      <c r="E9" s="23" t="s">
        <v>81</v>
      </c>
      <c r="G9" s="20">
        <v>13</v>
      </c>
      <c r="H9" s="23" t="s">
        <v>47</v>
      </c>
    </row>
    <row r="10" spans="1:8" ht="14">
      <c r="A10" s="19">
        <v>49</v>
      </c>
      <c r="B10" s="22" t="s">
        <v>124</v>
      </c>
      <c r="D10" s="19">
        <v>31</v>
      </c>
      <c r="E10" s="22" t="s">
        <v>84</v>
      </c>
      <c r="G10" s="19">
        <v>28</v>
      </c>
      <c r="H10" s="22" t="s">
        <v>65</v>
      </c>
    </row>
    <row r="11" spans="1:8" ht="14">
      <c r="A11" s="18">
        <v>53</v>
      </c>
      <c r="B11" s="21" t="s">
        <v>131</v>
      </c>
      <c r="D11" s="18">
        <v>32</v>
      </c>
      <c r="E11" s="21" t="s">
        <v>86</v>
      </c>
      <c r="G11" s="18">
        <v>37</v>
      </c>
      <c r="H11" s="21" t="s">
        <v>99</v>
      </c>
    </row>
    <row r="12" spans="1:8" ht="14">
      <c r="A12" s="19">
        <v>59</v>
      </c>
      <c r="B12" s="22" t="s">
        <v>142</v>
      </c>
      <c r="D12" s="19">
        <v>36</v>
      </c>
      <c r="E12" s="22" t="s">
        <v>97</v>
      </c>
      <c r="G12" s="19">
        <v>43</v>
      </c>
      <c r="H12" s="22" t="s">
        <v>111</v>
      </c>
    </row>
    <row r="13" spans="1:8" ht="14">
      <c r="A13" s="20">
        <v>62</v>
      </c>
      <c r="B13" s="23" t="s">
        <v>95</v>
      </c>
      <c r="D13" s="20">
        <v>39</v>
      </c>
      <c r="E13" s="23" t="s">
        <v>103</v>
      </c>
      <c r="G13" s="20">
        <v>44</v>
      </c>
      <c r="H13" s="23" t="s">
        <v>92</v>
      </c>
    </row>
    <row r="14" spans="1:8" ht="14">
      <c r="A14" s="19">
        <v>63</v>
      </c>
      <c r="B14" s="22" t="s">
        <v>40</v>
      </c>
      <c r="D14" s="19">
        <v>58</v>
      </c>
      <c r="E14" s="22" t="s">
        <v>140</v>
      </c>
      <c r="G14" s="19">
        <v>52</v>
      </c>
      <c r="H14" s="22" t="s">
        <v>52</v>
      </c>
    </row>
    <row r="17" spans="1:5">
      <c r="A17" s="17" t="s">
        <v>208</v>
      </c>
      <c r="B17" s="17"/>
      <c r="D17" s="12" t="s">
        <v>209</v>
      </c>
      <c r="E17" s="11"/>
    </row>
    <row r="18" spans="1:5">
      <c r="A18" s="10" t="s">
        <v>205</v>
      </c>
      <c r="B18" s="10" t="s">
        <v>8</v>
      </c>
      <c r="D18" s="13" t="s">
        <v>205</v>
      </c>
      <c r="E18" s="10" t="s">
        <v>8</v>
      </c>
    </row>
    <row r="19" spans="1:5" ht="14">
      <c r="A19" s="18">
        <v>5</v>
      </c>
      <c r="B19" s="21" t="s">
        <v>25</v>
      </c>
      <c r="D19" s="18">
        <v>12</v>
      </c>
      <c r="E19" s="21" t="s">
        <v>44</v>
      </c>
    </row>
    <row r="20" spans="1:5" ht="14">
      <c r="A20" s="19">
        <v>6</v>
      </c>
      <c r="B20" s="22" t="s">
        <v>27</v>
      </c>
      <c r="D20" s="19">
        <v>16</v>
      </c>
      <c r="E20" s="22" t="s">
        <v>53</v>
      </c>
    </row>
    <row r="21" spans="1:5" ht="14">
      <c r="A21" s="20">
        <v>8</v>
      </c>
      <c r="B21" s="23" t="s">
        <v>31</v>
      </c>
      <c r="D21" s="20">
        <v>21</v>
      </c>
      <c r="E21" s="23" t="s">
        <v>63</v>
      </c>
    </row>
    <row r="22" spans="1:5" ht="14">
      <c r="A22" s="19">
        <v>27</v>
      </c>
      <c r="B22" s="22" t="s">
        <v>76</v>
      </c>
      <c r="D22" s="19">
        <v>23</v>
      </c>
      <c r="E22" s="22" t="s">
        <v>68</v>
      </c>
    </row>
    <row r="23" spans="1:5" ht="14">
      <c r="A23" s="18">
        <v>33</v>
      </c>
      <c r="B23" s="21" t="s">
        <v>88</v>
      </c>
      <c r="D23" s="18">
        <v>25</v>
      </c>
      <c r="E23" s="21" t="s">
        <v>72</v>
      </c>
    </row>
    <row r="24" spans="1:5" ht="14">
      <c r="A24" s="19">
        <v>34</v>
      </c>
      <c r="B24" s="22" t="s">
        <v>90</v>
      </c>
      <c r="D24" s="19">
        <v>26</v>
      </c>
      <c r="E24" s="22" t="s">
        <v>74</v>
      </c>
    </row>
    <row r="25" spans="1:5" ht="14">
      <c r="A25" s="20">
        <v>38</v>
      </c>
      <c r="B25" s="23" t="s">
        <v>101</v>
      </c>
      <c r="D25" s="20">
        <v>42</v>
      </c>
      <c r="E25" s="23" t="s">
        <v>109</v>
      </c>
    </row>
    <row r="26" spans="1:5" ht="14">
      <c r="A26" s="19">
        <v>41</v>
      </c>
      <c r="B26" s="22" t="s">
        <v>107</v>
      </c>
      <c r="D26" s="19">
        <v>45</v>
      </c>
      <c r="E26" s="22" t="s">
        <v>115</v>
      </c>
    </row>
    <row r="27" spans="1:5" ht="14">
      <c r="A27" s="18">
        <v>47</v>
      </c>
      <c r="B27" s="21" t="s">
        <v>120</v>
      </c>
      <c r="D27" s="18">
        <v>46</v>
      </c>
      <c r="E27" s="21" t="s">
        <v>117</v>
      </c>
    </row>
    <row r="28" spans="1:5" ht="14">
      <c r="A28" s="19">
        <v>54</v>
      </c>
      <c r="B28" s="22" t="s">
        <v>133</v>
      </c>
      <c r="D28" s="19">
        <v>50</v>
      </c>
      <c r="E28" s="22" t="s">
        <v>126</v>
      </c>
    </row>
    <row r="29" spans="1:5" ht="14">
      <c r="A29" s="20">
        <v>55</v>
      </c>
      <c r="B29" s="23" t="s">
        <v>106</v>
      </c>
      <c r="D29" s="20">
        <v>56</v>
      </c>
      <c r="E29" s="23" t="s">
        <v>137</v>
      </c>
    </row>
    <row r="30" spans="1:5" ht="14">
      <c r="A30" s="19">
        <v>57</v>
      </c>
      <c r="B30" s="22" t="s">
        <v>119</v>
      </c>
      <c r="D30" s="19">
        <v>61</v>
      </c>
      <c r="E30" s="22" t="s">
        <v>147</v>
      </c>
    </row>
  </sheetData>
  <sortState xmlns:xlrd2="http://schemas.microsoft.com/office/spreadsheetml/2017/richdata2" ref="D19:E30">
    <sortCondition ref="D19:D30"/>
  </sortState>
  <mergeCells count="5">
    <mergeCell ref="A1:B1"/>
    <mergeCell ref="D1:E1"/>
    <mergeCell ref="G1:H1"/>
    <mergeCell ref="A17:B17"/>
    <mergeCell ref="D17:E17"/>
  </mergeCells>
  <dataValidations count="1">
    <dataValidation type="custom" allowBlank="1" showDropDown="1" sqref="A3:A14 D3:D14 G3:G14 A19:A30 D19:D30" xr:uid="{1712593B-608A-420D-82FB-3027C318B5B6}">
      <formula1>AND(ISNUMBER(A3),(NOT(OR(NOT(ISERROR(DATEVALUE(A3))), AND(ISNUMBER(A3), LEFT(CELL("format", A3))="D")))))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1D14C-0BB4-4952-9DC1-54C3C6386119}">
  <dimension ref="A1:B13"/>
  <sheetViews>
    <sheetView zoomScale="175" zoomScaleNormal="175" workbookViewId="0">
      <selection activeCell="C6" sqref="C6"/>
    </sheetView>
  </sheetViews>
  <sheetFormatPr baseColWidth="10" defaultRowHeight="12.5"/>
  <cols>
    <col min="1" max="1" width="49.453125" bestFit="1" customWidth="1"/>
    <col min="2" max="2" width="18.26953125" bestFit="1" customWidth="1"/>
  </cols>
  <sheetData>
    <row r="1" spans="1:2">
      <c r="A1" s="69" t="s">
        <v>215</v>
      </c>
      <c r="B1" s="69"/>
    </row>
    <row r="2" spans="1:2">
      <c r="A2" s="13" t="s">
        <v>211</v>
      </c>
      <c r="B2" s="13" t="s">
        <v>212</v>
      </c>
    </row>
    <row r="3" spans="1:2">
      <c r="A3" s="67" t="s">
        <v>213</v>
      </c>
      <c r="B3" s="68" t="s">
        <v>214</v>
      </c>
    </row>
    <row r="6" spans="1:2">
      <c r="A6" s="12" t="s">
        <v>216</v>
      </c>
      <c r="B6" s="12"/>
    </row>
    <row r="7" spans="1:2">
      <c r="A7" s="13" t="s">
        <v>211</v>
      </c>
      <c r="B7" s="13" t="s">
        <v>212</v>
      </c>
    </row>
    <row r="8" spans="1:2">
      <c r="A8" s="67" t="s">
        <v>220</v>
      </c>
      <c r="B8" s="68" t="s">
        <v>221</v>
      </c>
    </row>
    <row r="11" spans="1:2">
      <c r="A11" s="70" t="s">
        <v>217</v>
      </c>
      <c r="B11" s="70"/>
    </row>
    <row r="12" spans="1:2">
      <c r="A12" s="13" t="s">
        <v>211</v>
      </c>
      <c r="B12" s="13" t="s">
        <v>212</v>
      </c>
    </row>
    <row r="13" spans="1:2">
      <c r="A13" s="67" t="s">
        <v>218</v>
      </c>
      <c r="B13" s="68" t="s">
        <v>219</v>
      </c>
    </row>
  </sheetData>
  <mergeCells count="3">
    <mergeCell ref="A1:B1"/>
    <mergeCell ref="A6:B6"/>
    <mergeCell ref="A11:B11"/>
  </mergeCells>
  <hyperlinks>
    <hyperlink ref="B3" r:id="rId1" display="https://www.google.com/maps/place/105+Brigada/data=!4m2!3m1!19sChIJaWX_mz5bZo8RlKia7t3EtxM" xr:uid="{B796CC08-F6AE-4AE4-B079-4836A023070C}"/>
    <hyperlink ref="B13" r:id="rId2" display="https://www.google.com/maps/place/Barrio+Los+Andes/data=!4m2!3m1!19sChIJUxKnNWpbZo8RTeqy00Z2UZc" xr:uid="{C6313C57-19BF-48F5-A524-AF2418CC6EE6}"/>
    <hyperlink ref="B8" r:id="rId3" display="https://www.google.com/maps/place/Planta+Bloques+Nueva/data=!4m2!3m1!19sChIJ77bBUwBDZo8R24GMMcPfP3o" xr:uid="{5C489F9A-B4DD-4443-B4CB-2DCE556CC0D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000"/>
  <sheetViews>
    <sheetView workbookViewId="0">
      <selection activeCell="C10" sqref="C10"/>
    </sheetView>
  </sheetViews>
  <sheetFormatPr baseColWidth="10" defaultColWidth="12.6328125" defaultRowHeight="15.75" customHeight="1"/>
  <cols>
    <col min="1" max="1" width="7.1796875" customWidth="1"/>
    <col min="2" max="2" width="47.453125" bestFit="1" customWidth="1"/>
    <col min="3" max="3" width="50.90625" bestFit="1" customWidth="1"/>
    <col min="4" max="5" width="21.26953125" customWidth="1"/>
    <col min="6" max="6" width="22.6328125" bestFit="1" customWidth="1"/>
    <col min="8" max="8" width="15.08984375" customWidth="1"/>
    <col min="9" max="9" width="46.26953125" customWidth="1"/>
  </cols>
  <sheetData>
    <row r="1" spans="1:9" ht="25" customHeight="1" thickBot="1">
      <c r="A1" s="24" t="s">
        <v>1</v>
      </c>
      <c r="B1" s="24" t="s">
        <v>4</v>
      </c>
      <c r="C1" s="24" t="s">
        <v>6</v>
      </c>
      <c r="D1" s="25" t="s">
        <v>9</v>
      </c>
      <c r="E1" s="25" t="s">
        <v>7</v>
      </c>
      <c r="F1" s="26" t="s">
        <v>225</v>
      </c>
    </row>
    <row r="2" spans="1:9" ht="16" customHeight="1">
      <c r="A2" s="27">
        <v>1</v>
      </c>
      <c r="B2" s="28" t="s">
        <v>13</v>
      </c>
      <c r="C2" s="29" t="s">
        <v>14</v>
      </c>
      <c r="D2" s="27"/>
      <c r="E2" s="27"/>
      <c r="F2" s="30"/>
      <c r="H2" s="1" t="s">
        <v>19</v>
      </c>
      <c r="I2" s="2" t="s">
        <v>21</v>
      </c>
    </row>
    <row r="3" spans="1:9" ht="16" customHeight="1">
      <c r="A3" s="31"/>
      <c r="B3" s="32" t="s">
        <v>22</v>
      </c>
      <c r="C3" s="33"/>
      <c r="D3" s="31">
        <f>260/1000</f>
        <v>0.26</v>
      </c>
      <c r="E3" s="31">
        <v>1.8</v>
      </c>
      <c r="F3" s="34">
        <f>(D3+E3)/2</f>
        <v>1.03</v>
      </c>
      <c r="H3" s="1" t="s">
        <v>33</v>
      </c>
      <c r="I3" s="2" t="s">
        <v>34</v>
      </c>
    </row>
    <row r="4" spans="1:9" ht="16" customHeight="1">
      <c r="A4" s="35"/>
      <c r="B4" s="36" t="s">
        <v>36</v>
      </c>
      <c r="C4" s="37"/>
      <c r="D4" s="35">
        <v>1</v>
      </c>
      <c r="E4" s="35">
        <v>2.7</v>
      </c>
      <c r="F4" s="38">
        <f>(D4+E4)/2</f>
        <v>1.85</v>
      </c>
    </row>
    <row r="5" spans="1:9" ht="16" customHeight="1">
      <c r="A5" s="31"/>
      <c r="B5" s="32" t="s">
        <v>40</v>
      </c>
      <c r="C5" s="33"/>
      <c r="D5" s="31">
        <v>2.2999999999999998</v>
      </c>
      <c r="E5" s="31">
        <v>1.3</v>
      </c>
      <c r="F5" s="34">
        <f>(D5+E5)/2</f>
        <v>1.7999999999999998</v>
      </c>
    </row>
    <row r="6" spans="1:9" ht="16" customHeight="1">
      <c r="A6" s="39">
        <v>2</v>
      </c>
      <c r="B6" s="40" t="s">
        <v>16</v>
      </c>
      <c r="C6" s="41" t="s">
        <v>43</v>
      </c>
      <c r="D6" s="39"/>
      <c r="E6" s="39"/>
      <c r="F6" s="42"/>
    </row>
    <row r="7" spans="1:9" ht="16" customHeight="1">
      <c r="A7" s="43"/>
      <c r="B7" s="44" t="s">
        <v>46</v>
      </c>
      <c r="C7" s="33"/>
      <c r="D7" s="31">
        <v>1.8</v>
      </c>
      <c r="E7" s="31">
        <v>1</v>
      </c>
      <c r="F7" s="34">
        <f>(D7+E7)/2</f>
        <v>1.4</v>
      </c>
    </row>
    <row r="8" spans="1:9" ht="16" customHeight="1">
      <c r="A8" s="45"/>
      <c r="B8" s="46" t="s">
        <v>18</v>
      </c>
      <c r="C8" s="37"/>
      <c r="D8" s="35">
        <v>1.7</v>
      </c>
      <c r="E8" s="35">
        <v>3.2</v>
      </c>
      <c r="F8" s="38">
        <f>(D8+E8)/2</f>
        <v>2.4500000000000002</v>
      </c>
    </row>
    <row r="9" spans="1:9" ht="16" customHeight="1">
      <c r="A9" s="43"/>
      <c r="B9" s="44" t="s">
        <v>52</v>
      </c>
      <c r="C9" s="33"/>
      <c r="D9" s="31">
        <v>2.2000000000000002</v>
      </c>
      <c r="E9" s="31">
        <v>3.2</v>
      </c>
      <c r="F9" s="34">
        <f>(D9+E9)/2</f>
        <v>2.7</v>
      </c>
    </row>
    <row r="10" spans="1:9" ht="16" customHeight="1">
      <c r="A10" s="39">
        <v>3</v>
      </c>
      <c r="B10" s="40" t="s">
        <v>18</v>
      </c>
      <c r="C10" s="41" t="s">
        <v>54</v>
      </c>
      <c r="D10" s="39"/>
      <c r="E10" s="39"/>
      <c r="F10" s="42"/>
    </row>
    <row r="11" spans="1:9" ht="16" customHeight="1">
      <c r="A11" s="43"/>
      <c r="B11" s="32" t="s">
        <v>47</v>
      </c>
      <c r="C11" s="33"/>
      <c r="D11" s="43">
        <f t="shared" ref="D11:D12" si="0">700/1000</f>
        <v>0.7</v>
      </c>
      <c r="E11" s="43">
        <f>350/1000</f>
        <v>0.35</v>
      </c>
      <c r="F11" s="34">
        <f>(D11+E11)/2</f>
        <v>0.52499999999999991</v>
      </c>
    </row>
    <row r="12" spans="1:9" ht="16" customHeight="1">
      <c r="A12" s="45"/>
      <c r="B12" s="36" t="s">
        <v>52</v>
      </c>
      <c r="C12" s="37"/>
      <c r="D12" s="45">
        <f t="shared" si="0"/>
        <v>0.7</v>
      </c>
      <c r="E12" s="35">
        <v>1.4</v>
      </c>
      <c r="F12" s="38">
        <f>(D12+E12)/2</f>
        <v>1.0499999999999998</v>
      </c>
    </row>
    <row r="13" spans="1:9" ht="16" customHeight="1">
      <c r="A13" s="43"/>
      <c r="B13" s="32" t="s">
        <v>65</v>
      </c>
      <c r="C13" s="33"/>
      <c r="D13" s="43">
        <f>650/1000</f>
        <v>0.65</v>
      </c>
      <c r="E13" s="31">
        <v>1.9</v>
      </c>
      <c r="F13" s="34">
        <f>(D13+E13)/2</f>
        <v>1.2749999999999999</v>
      </c>
    </row>
    <row r="14" spans="1:9" ht="16" customHeight="1">
      <c r="A14" s="39">
        <v>4</v>
      </c>
      <c r="B14" s="40" t="s">
        <v>23</v>
      </c>
      <c r="C14" s="41" t="s">
        <v>83</v>
      </c>
      <c r="D14" s="39"/>
      <c r="E14" s="39"/>
      <c r="F14" s="42"/>
    </row>
    <row r="15" spans="1:9" ht="16" customHeight="1">
      <c r="A15" s="43"/>
      <c r="B15" s="44" t="s">
        <v>65</v>
      </c>
      <c r="C15" s="33"/>
      <c r="D15" s="31">
        <v>1.5</v>
      </c>
      <c r="E15" s="31">
        <v>1.1000000000000001</v>
      </c>
      <c r="F15" s="34">
        <f>(D15+E15)/2</f>
        <v>1.3</v>
      </c>
    </row>
    <row r="16" spans="1:9" ht="16" customHeight="1">
      <c r="A16" s="45"/>
      <c r="B16" s="46" t="s">
        <v>92</v>
      </c>
      <c r="C16" s="37"/>
      <c r="D16" s="35">
        <v>2.4</v>
      </c>
      <c r="E16" s="35">
        <v>2</v>
      </c>
      <c r="F16" s="38">
        <f>(D16+E16)/2</f>
        <v>2.2000000000000002</v>
      </c>
    </row>
    <row r="17" spans="1:6" ht="16" customHeight="1">
      <c r="A17" s="43"/>
      <c r="B17" s="44" t="s">
        <v>95</v>
      </c>
      <c r="C17" s="33"/>
      <c r="D17" s="31">
        <v>2.4</v>
      </c>
      <c r="E17" s="31">
        <v>2.8</v>
      </c>
      <c r="F17" s="34">
        <f>(D17+E17)/2</f>
        <v>2.5999999999999996</v>
      </c>
    </row>
    <row r="18" spans="1:6" ht="16" customHeight="1">
      <c r="A18" s="39">
        <v>5</v>
      </c>
      <c r="B18" s="40" t="s">
        <v>25</v>
      </c>
      <c r="C18" s="41" t="s">
        <v>96</v>
      </c>
      <c r="D18" s="39"/>
      <c r="E18" s="39"/>
      <c r="F18" s="42"/>
    </row>
    <row r="19" spans="1:6" ht="16" customHeight="1">
      <c r="A19" s="43"/>
      <c r="B19" s="32" t="s">
        <v>90</v>
      </c>
      <c r="C19" s="33"/>
      <c r="D19" s="31">
        <v>1</v>
      </c>
      <c r="E19" s="31">
        <v>1</v>
      </c>
      <c r="F19" s="34">
        <f>(D19+E19)/2</f>
        <v>1</v>
      </c>
    </row>
    <row r="20" spans="1:6" ht="16" customHeight="1">
      <c r="A20" s="45"/>
      <c r="B20" s="36" t="s">
        <v>106</v>
      </c>
      <c r="C20" s="37"/>
      <c r="D20" s="35">
        <v>3.4</v>
      </c>
      <c r="E20" s="35">
        <v>1.5</v>
      </c>
      <c r="F20" s="38">
        <f>(D20+E20)/2</f>
        <v>2.4500000000000002</v>
      </c>
    </row>
    <row r="21" spans="1:6" ht="16" customHeight="1">
      <c r="A21" s="43"/>
      <c r="B21" s="32" t="s">
        <v>101</v>
      </c>
      <c r="C21" s="33"/>
      <c r="D21" s="31">
        <v>3.3</v>
      </c>
      <c r="E21" s="31">
        <v>1.3</v>
      </c>
      <c r="F21" s="34">
        <f>(D21+E21)/2</f>
        <v>2.2999999999999998</v>
      </c>
    </row>
    <row r="22" spans="1:6" ht="16" customHeight="1">
      <c r="A22" s="39">
        <v>6</v>
      </c>
      <c r="B22" s="40" t="s">
        <v>27</v>
      </c>
      <c r="C22" s="41" t="s">
        <v>113</v>
      </c>
      <c r="D22" s="39"/>
      <c r="E22" s="39"/>
      <c r="F22" s="42"/>
    </row>
    <row r="23" spans="1:6" ht="16" customHeight="1">
      <c r="A23" s="43"/>
      <c r="B23" s="44" t="s">
        <v>107</v>
      </c>
      <c r="C23" s="33"/>
      <c r="D23" s="31">
        <v>1.7</v>
      </c>
      <c r="E23" s="31">
        <v>2.6</v>
      </c>
      <c r="F23" s="34">
        <f>(D23+E23)/2</f>
        <v>2.15</v>
      </c>
    </row>
    <row r="24" spans="1:6" ht="16" customHeight="1">
      <c r="A24" s="45"/>
      <c r="B24" s="46" t="s">
        <v>119</v>
      </c>
      <c r="C24" s="37"/>
      <c r="D24" s="35">
        <v>4.7</v>
      </c>
      <c r="E24" s="35">
        <v>2.7</v>
      </c>
      <c r="F24" s="38">
        <f>(D24+E24)/2</f>
        <v>3.7</v>
      </c>
    </row>
    <row r="25" spans="1:6" ht="16" customHeight="1">
      <c r="A25" s="43"/>
      <c r="B25" s="44" t="s">
        <v>120</v>
      </c>
      <c r="C25" s="33"/>
      <c r="D25" s="31">
        <v>4.3</v>
      </c>
      <c r="E25" s="31">
        <v>3.2</v>
      </c>
      <c r="F25" s="34">
        <f>(D25+E25)/2</f>
        <v>3.75</v>
      </c>
    </row>
    <row r="26" spans="1:6" ht="16" customHeight="1">
      <c r="A26" s="39">
        <v>7</v>
      </c>
      <c r="B26" s="40" t="s">
        <v>29</v>
      </c>
      <c r="C26" s="41" t="s">
        <v>123</v>
      </c>
      <c r="D26" s="39"/>
      <c r="E26" s="39"/>
      <c r="F26" s="42"/>
    </row>
    <row r="27" spans="1:6" ht="16" customHeight="1">
      <c r="A27" s="43"/>
      <c r="B27" s="32" t="s">
        <v>120</v>
      </c>
      <c r="C27" s="33"/>
      <c r="D27" s="31">
        <v>1.5</v>
      </c>
      <c r="E27" s="31">
        <v>3.2</v>
      </c>
      <c r="F27" s="34">
        <f>(D27+E27)/2</f>
        <v>2.35</v>
      </c>
    </row>
    <row r="28" spans="1:6" ht="16" customHeight="1">
      <c r="A28" s="45"/>
      <c r="B28" s="36" t="s">
        <v>119</v>
      </c>
      <c r="C28" s="37"/>
      <c r="D28" s="35">
        <v>1.9</v>
      </c>
      <c r="E28" s="35">
        <v>2.8</v>
      </c>
      <c r="F28" s="38">
        <f>(D28+E28)/2</f>
        <v>2.3499999999999996</v>
      </c>
    </row>
    <row r="29" spans="1:6" ht="16" customHeight="1">
      <c r="A29" s="43"/>
      <c r="B29" s="32" t="s">
        <v>86</v>
      </c>
      <c r="C29" s="33"/>
      <c r="D29" s="31">
        <v>3.9</v>
      </c>
      <c r="E29" s="31">
        <v>2.1</v>
      </c>
      <c r="F29" s="34">
        <f>(D29+E29)/2</f>
        <v>3</v>
      </c>
    </row>
    <row r="30" spans="1:6" ht="16" customHeight="1">
      <c r="A30" s="39">
        <v>8</v>
      </c>
      <c r="B30" s="40" t="s">
        <v>31</v>
      </c>
      <c r="C30" s="41" t="s">
        <v>135</v>
      </c>
      <c r="D30" s="39"/>
      <c r="E30" s="39"/>
      <c r="F30" s="42"/>
    </row>
    <row r="31" spans="1:6" ht="16" customHeight="1">
      <c r="A31" s="43"/>
      <c r="B31" s="44" t="s">
        <v>76</v>
      </c>
      <c r="C31" s="33"/>
      <c r="D31" s="43">
        <f>700/1000</f>
        <v>0.7</v>
      </c>
      <c r="E31" s="31">
        <v>5.3</v>
      </c>
      <c r="F31" s="34">
        <f>(D31+E31)/2</f>
        <v>3</v>
      </c>
    </row>
    <row r="32" spans="1:6" ht="16" customHeight="1">
      <c r="A32" s="45"/>
      <c r="B32" s="46" t="s">
        <v>101</v>
      </c>
      <c r="C32" s="37"/>
      <c r="D32" s="35">
        <v>1.8</v>
      </c>
      <c r="E32" s="35">
        <v>3.2</v>
      </c>
      <c r="F32" s="38">
        <f>(D32+E32)/2</f>
        <v>2.5</v>
      </c>
    </row>
    <row r="33" spans="1:6" ht="16" customHeight="1">
      <c r="A33" s="43"/>
      <c r="B33" s="44" t="s">
        <v>25</v>
      </c>
      <c r="C33" s="33"/>
      <c r="D33" s="31">
        <v>3.6</v>
      </c>
      <c r="E33" s="31">
        <v>3.7</v>
      </c>
      <c r="F33" s="34">
        <f>(D33+E33)/2</f>
        <v>3.6500000000000004</v>
      </c>
    </row>
    <row r="34" spans="1:6" ht="16" customHeight="1">
      <c r="A34" s="39">
        <v>9</v>
      </c>
      <c r="B34" s="40" t="s">
        <v>35</v>
      </c>
      <c r="C34" s="41" t="s">
        <v>146</v>
      </c>
      <c r="D34" s="39"/>
      <c r="E34" s="39"/>
      <c r="F34" s="42"/>
    </row>
    <row r="35" spans="1:6" ht="16" customHeight="1">
      <c r="A35" s="43"/>
      <c r="B35" s="32" t="s">
        <v>38</v>
      </c>
      <c r="C35" s="33"/>
      <c r="D35" s="31">
        <v>1.1000000000000001</v>
      </c>
      <c r="E35" s="31">
        <v>1.2</v>
      </c>
      <c r="F35" s="34">
        <f>(D35+E35)/2</f>
        <v>1.1499999999999999</v>
      </c>
    </row>
    <row r="36" spans="1:6" ht="16" customHeight="1">
      <c r="A36" s="45"/>
      <c r="B36" s="36" t="s">
        <v>111</v>
      </c>
      <c r="C36" s="37"/>
      <c r="D36" s="35">
        <v>1.3</v>
      </c>
      <c r="E36" s="35">
        <v>1.9</v>
      </c>
      <c r="F36" s="38">
        <f>(D36+E36)/2</f>
        <v>1.6</v>
      </c>
    </row>
    <row r="37" spans="1:6" ht="16" customHeight="1">
      <c r="A37" s="43"/>
      <c r="B37" s="32" t="s">
        <v>47</v>
      </c>
      <c r="C37" s="33"/>
      <c r="D37" s="31">
        <v>1.4</v>
      </c>
      <c r="E37" s="31">
        <v>1.5</v>
      </c>
      <c r="F37" s="34">
        <f>(D37+E37)/2</f>
        <v>1.45</v>
      </c>
    </row>
    <row r="38" spans="1:6" ht="16" customHeight="1">
      <c r="A38" s="39">
        <v>10</v>
      </c>
      <c r="B38" s="40" t="s">
        <v>38</v>
      </c>
      <c r="C38" s="41" t="s">
        <v>151</v>
      </c>
      <c r="D38" s="39"/>
      <c r="E38" s="39"/>
      <c r="F38" s="42"/>
    </row>
    <row r="39" spans="1:6" ht="16" customHeight="1">
      <c r="A39" s="43"/>
      <c r="B39" s="44" t="s">
        <v>99</v>
      </c>
      <c r="C39" s="33"/>
      <c r="D39" s="43">
        <f>900/1000</f>
        <v>0.9</v>
      </c>
      <c r="E39" s="43">
        <f>850/1000</f>
        <v>0.85</v>
      </c>
      <c r="F39" s="34">
        <f>(D39+E39)/2</f>
        <v>0.875</v>
      </c>
    </row>
    <row r="40" spans="1:6" ht="16" customHeight="1">
      <c r="A40" s="45"/>
      <c r="B40" s="46" t="s">
        <v>35</v>
      </c>
      <c r="C40" s="37"/>
      <c r="D40" s="35">
        <v>1.2</v>
      </c>
      <c r="E40" s="35">
        <v>1.1000000000000001</v>
      </c>
      <c r="F40" s="38">
        <f>(D40+E40)/2</f>
        <v>1.1499999999999999</v>
      </c>
    </row>
    <row r="41" spans="1:6" ht="16" customHeight="1">
      <c r="A41" s="43"/>
      <c r="B41" s="44" t="s">
        <v>117</v>
      </c>
      <c r="C41" s="33"/>
      <c r="D41" s="31">
        <v>1.4</v>
      </c>
      <c r="E41" s="31">
        <v>1.3</v>
      </c>
      <c r="F41" s="34">
        <f>(D41+E41)/2</f>
        <v>1.35</v>
      </c>
    </row>
    <row r="42" spans="1:6" ht="16" customHeight="1">
      <c r="A42" s="39">
        <v>11</v>
      </c>
      <c r="B42" s="40" t="s">
        <v>41</v>
      </c>
      <c r="C42" s="41" t="s">
        <v>152</v>
      </c>
      <c r="D42" s="39"/>
      <c r="E42" s="39"/>
      <c r="F42" s="42"/>
    </row>
    <row r="43" spans="1:6" ht="16" customHeight="1">
      <c r="A43" s="43"/>
      <c r="B43" s="32" t="s">
        <v>16</v>
      </c>
      <c r="C43" s="33"/>
      <c r="D43" s="31">
        <v>4.9000000000000004</v>
      </c>
      <c r="E43" s="31">
        <v>2.7</v>
      </c>
      <c r="F43" s="34">
        <f>(D43+E43)/2</f>
        <v>3.8000000000000003</v>
      </c>
    </row>
    <row r="44" spans="1:6" ht="16" customHeight="1">
      <c r="A44" s="45"/>
      <c r="B44" s="36" t="s">
        <v>92</v>
      </c>
      <c r="C44" s="37"/>
      <c r="D44" s="35">
        <v>4.2</v>
      </c>
      <c r="E44" s="35">
        <v>2.6</v>
      </c>
      <c r="F44" s="38">
        <f>(D44+E44)/2</f>
        <v>3.4000000000000004</v>
      </c>
    </row>
    <row r="45" spans="1:6" ht="16" customHeight="1">
      <c r="A45" s="43"/>
      <c r="B45" s="32" t="s">
        <v>65</v>
      </c>
      <c r="C45" s="33"/>
      <c r="D45" s="31">
        <v>3.4</v>
      </c>
      <c r="E45" s="31">
        <v>3.1</v>
      </c>
      <c r="F45" s="34">
        <f>(D45+E45)/2</f>
        <v>3.25</v>
      </c>
    </row>
    <row r="46" spans="1:6" ht="16" customHeight="1">
      <c r="A46" s="39">
        <v>12</v>
      </c>
      <c r="B46" s="40" t="s">
        <v>44</v>
      </c>
      <c r="C46" s="41" t="s">
        <v>153</v>
      </c>
      <c r="D46" s="39"/>
      <c r="E46" s="39"/>
      <c r="F46" s="42"/>
    </row>
    <row r="47" spans="1:6" ht="16" customHeight="1">
      <c r="A47" s="43"/>
      <c r="B47" s="44" t="s">
        <v>147</v>
      </c>
      <c r="C47" s="33"/>
      <c r="D47" s="31">
        <v>1</v>
      </c>
      <c r="E47" s="43">
        <f>700/1000</f>
        <v>0.7</v>
      </c>
      <c r="F47" s="34">
        <f>(D47+E47)/2</f>
        <v>0.85</v>
      </c>
    </row>
    <row r="48" spans="1:6" ht="16" customHeight="1">
      <c r="A48" s="45"/>
      <c r="B48" s="46" t="s">
        <v>111</v>
      </c>
      <c r="C48" s="37"/>
      <c r="D48" s="35">
        <v>1.4</v>
      </c>
      <c r="E48" s="35">
        <v>1.5</v>
      </c>
      <c r="F48" s="38">
        <f>(D48+E48)/2</f>
        <v>1.45</v>
      </c>
    </row>
    <row r="49" spans="1:6" ht="16" customHeight="1">
      <c r="A49" s="43"/>
      <c r="B49" s="44" t="s">
        <v>47</v>
      </c>
      <c r="C49" s="33"/>
      <c r="D49" s="31">
        <v>3.1</v>
      </c>
      <c r="E49" s="31">
        <v>2.1</v>
      </c>
      <c r="F49" s="34">
        <f>(D49+E49)/2</f>
        <v>2.6</v>
      </c>
    </row>
    <row r="50" spans="1:6" ht="16" customHeight="1">
      <c r="A50" s="39">
        <v>13</v>
      </c>
      <c r="B50" s="40" t="s">
        <v>47</v>
      </c>
      <c r="C50" s="41" t="s">
        <v>154</v>
      </c>
      <c r="D50" s="39"/>
      <c r="E50" s="39"/>
      <c r="F50" s="42"/>
    </row>
    <row r="51" spans="1:6" ht="16" customHeight="1">
      <c r="A51" s="43"/>
      <c r="B51" s="32" t="s">
        <v>18</v>
      </c>
      <c r="C51" s="33"/>
      <c r="D51" s="43">
        <f>350/1000</f>
        <v>0.35</v>
      </c>
      <c r="E51" s="43">
        <f>700/1000</f>
        <v>0.7</v>
      </c>
      <c r="F51" s="34">
        <f>(D51+E51)/2</f>
        <v>0.52499999999999991</v>
      </c>
    </row>
    <row r="52" spans="1:6" ht="16" customHeight="1">
      <c r="A52" s="45"/>
      <c r="B52" s="36" t="s">
        <v>52</v>
      </c>
      <c r="C52" s="37"/>
      <c r="D52" s="35">
        <v>1</v>
      </c>
      <c r="E52" s="35">
        <v>2.1</v>
      </c>
      <c r="F52" s="38">
        <f>(D52+E52)/2</f>
        <v>1.55</v>
      </c>
    </row>
    <row r="53" spans="1:6" ht="16" customHeight="1">
      <c r="A53" s="43"/>
      <c r="B53" s="32" t="s">
        <v>111</v>
      </c>
      <c r="C53" s="33"/>
      <c r="D53" s="43">
        <f>900/1000</f>
        <v>0.9</v>
      </c>
      <c r="E53" s="31">
        <v>1.9</v>
      </c>
      <c r="F53" s="34">
        <f>(D53+E53)/2</f>
        <v>1.4</v>
      </c>
    </row>
    <row r="54" spans="1:6" ht="16" customHeight="1">
      <c r="A54" s="39">
        <v>14</v>
      </c>
      <c r="B54" s="40" t="s">
        <v>49</v>
      </c>
      <c r="C54" s="41" t="s">
        <v>155</v>
      </c>
      <c r="D54" s="39"/>
      <c r="E54" s="39"/>
      <c r="F54" s="42"/>
    </row>
    <row r="55" spans="1:6" ht="16" customHeight="1">
      <c r="A55" s="43"/>
      <c r="B55" s="44" t="s">
        <v>59</v>
      </c>
      <c r="C55" s="33"/>
      <c r="D55" s="31">
        <v>2.2000000000000002</v>
      </c>
      <c r="E55" s="31">
        <v>1.4</v>
      </c>
      <c r="F55" s="34">
        <f>(D55+E55)/2</f>
        <v>1.8</v>
      </c>
    </row>
    <row r="56" spans="1:6" ht="16" customHeight="1">
      <c r="A56" s="45"/>
      <c r="B56" s="46" t="s">
        <v>57</v>
      </c>
      <c r="C56" s="37"/>
      <c r="D56" s="35">
        <v>2.2000000000000002</v>
      </c>
      <c r="E56" s="35">
        <v>1.3</v>
      </c>
      <c r="F56" s="38">
        <f>(D56+E56)/2</f>
        <v>1.75</v>
      </c>
    </row>
    <row r="57" spans="1:6" ht="16" customHeight="1">
      <c r="A57" s="43"/>
      <c r="B57" s="44" t="s">
        <v>93</v>
      </c>
      <c r="C57" s="33"/>
      <c r="D57" s="31">
        <v>1.7</v>
      </c>
      <c r="E57" s="31">
        <v>2</v>
      </c>
      <c r="F57" s="34">
        <f>(D57+E57)/2</f>
        <v>1.85</v>
      </c>
    </row>
    <row r="58" spans="1:6" ht="16" customHeight="1">
      <c r="A58" s="39">
        <v>15</v>
      </c>
      <c r="B58" s="40" t="s">
        <v>46</v>
      </c>
      <c r="C58" s="41" t="s">
        <v>156</v>
      </c>
      <c r="D58" s="39"/>
      <c r="E58" s="39"/>
      <c r="F58" s="42"/>
    </row>
    <row r="59" spans="1:6" ht="16" customHeight="1">
      <c r="A59" s="43"/>
      <c r="B59" s="32" t="s">
        <v>16</v>
      </c>
      <c r="C59" s="33"/>
      <c r="D59" s="31">
        <v>1</v>
      </c>
      <c r="E59" s="31">
        <v>1.8</v>
      </c>
      <c r="F59" s="34">
        <f>(D59+E59)/2</f>
        <v>1.4</v>
      </c>
    </row>
    <row r="60" spans="1:6" ht="16" customHeight="1">
      <c r="A60" s="45"/>
      <c r="B60" s="36" t="s">
        <v>55</v>
      </c>
      <c r="C60" s="37"/>
      <c r="D60" s="35">
        <v>1.2</v>
      </c>
      <c r="E60" s="35">
        <v>1.2</v>
      </c>
      <c r="F60" s="38">
        <f>(D60+E60)/2</f>
        <v>1.2</v>
      </c>
    </row>
    <row r="61" spans="1:6" ht="16" customHeight="1">
      <c r="A61" s="43"/>
      <c r="B61" s="32" t="s">
        <v>103</v>
      </c>
      <c r="C61" s="33"/>
      <c r="D61" s="31">
        <v>2</v>
      </c>
      <c r="E61" s="31">
        <v>1.5</v>
      </c>
      <c r="F61" s="34">
        <f>(D61+E61)/2</f>
        <v>1.75</v>
      </c>
    </row>
    <row r="62" spans="1:6" ht="16" customHeight="1">
      <c r="A62" s="39">
        <v>16</v>
      </c>
      <c r="B62" s="40" t="s">
        <v>53</v>
      </c>
      <c r="C62" s="41" t="s">
        <v>157</v>
      </c>
      <c r="D62" s="39"/>
      <c r="E62" s="39"/>
      <c r="F62" s="42"/>
    </row>
    <row r="63" spans="1:6" ht="16" customHeight="1">
      <c r="A63" s="43"/>
      <c r="B63" s="44" t="s">
        <v>126</v>
      </c>
      <c r="C63" s="33"/>
      <c r="D63" s="43">
        <f>650/1000</f>
        <v>0.65</v>
      </c>
      <c r="E63" s="43">
        <f>350/1000</f>
        <v>0.35</v>
      </c>
      <c r="F63" s="34">
        <f>(D63+E63)/2</f>
        <v>0.5</v>
      </c>
    </row>
    <row r="64" spans="1:6" ht="16" customHeight="1">
      <c r="A64" s="45"/>
      <c r="B64" s="46" t="s">
        <v>72</v>
      </c>
      <c r="C64" s="37"/>
      <c r="D64" s="45">
        <f>500/1000</f>
        <v>0.5</v>
      </c>
      <c r="E64" s="35">
        <v>1.6</v>
      </c>
      <c r="F64" s="38">
        <f>(D64+E64)/2</f>
        <v>1.05</v>
      </c>
    </row>
    <row r="65" spans="1:6" ht="16" customHeight="1">
      <c r="A65" s="43"/>
      <c r="B65" s="44" t="s">
        <v>68</v>
      </c>
      <c r="C65" s="33"/>
      <c r="D65" s="43">
        <f>900/1000</f>
        <v>0.9</v>
      </c>
      <c r="E65" s="43">
        <f>850/1000</f>
        <v>0.85</v>
      </c>
      <c r="F65" s="34">
        <f>(D65+E65)/2</f>
        <v>0.875</v>
      </c>
    </row>
    <row r="66" spans="1:6" ht="16" customHeight="1">
      <c r="A66" s="39">
        <v>17</v>
      </c>
      <c r="B66" s="40" t="s">
        <v>55</v>
      </c>
      <c r="C66" s="41" t="s">
        <v>158</v>
      </c>
      <c r="D66" s="39"/>
      <c r="E66" s="39"/>
      <c r="F66" s="42"/>
    </row>
    <row r="67" spans="1:6" ht="16" customHeight="1">
      <c r="A67" s="43"/>
      <c r="B67" s="32" t="s">
        <v>84</v>
      </c>
      <c r="C67" s="33"/>
      <c r="D67" s="31">
        <v>1.1000000000000001</v>
      </c>
      <c r="E67" s="31">
        <v>1</v>
      </c>
      <c r="F67" s="34">
        <f>(D67+E67)/2</f>
        <v>1.05</v>
      </c>
    </row>
    <row r="68" spans="1:6" ht="16" customHeight="1">
      <c r="A68" s="45"/>
      <c r="B68" s="36" t="s">
        <v>103</v>
      </c>
      <c r="C68" s="37"/>
      <c r="D68" s="35">
        <v>1.8</v>
      </c>
      <c r="E68" s="35">
        <v>1.1000000000000001</v>
      </c>
      <c r="F68" s="38">
        <f>(D68+E68)/2</f>
        <v>1.4500000000000002</v>
      </c>
    </row>
    <row r="69" spans="1:6" ht="16" customHeight="1">
      <c r="A69" s="43"/>
      <c r="B69" s="32" t="s">
        <v>46</v>
      </c>
      <c r="C69" s="33"/>
      <c r="D69" s="31">
        <v>1.2</v>
      </c>
      <c r="E69" s="31">
        <v>1.2</v>
      </c>
      <c r="F69" s="34">
        <f>(D69+E69)/2</f>
        <v>1.2</v>
      </c>
    </row>
    <row r="70" spans="1:6" ht="16" customHeight="1">
      <c r="A70" s="39">
        <v>18</v>
      </c>
      <c r="B70" s="40" t="s">
        <v>57</v>
      </c>
      <c r="C70" s="41" t="s">
        <v>159</v>
      </c>
      <c r="D70" s="39"/>
      <c r="E70" s="39"/>
      <c r="F70" s="42"/>
    </row>
    <row r="71" spans="1:6" ht="16" customHeight="1">
      <c r="A71" s="43"/>
      <c r="B71" s="44" t="s">
        <v>59</v>
      </c>
      <c r="C71" s="33"/>
      <c r="D71" s="43">
        <f>750/1000</f>
        <v>0.75</v>
      </c>
      <c r="E71" s="43">
        <f>120/1000</f>
        <v>0.12</v>
      </c>
      <c r="F71" s="34">
        <f>(D71+E71)/2</f>
        <v>0.435</v>
      </c>
    </row>
    <row r="72" spans="1:6" ht="16" customHeight="1">
      <c r="A72" s="45"/>
      <c r="B72" s="46" t="s">
        <v>49</v>
      </c>
      <c r="C72" s="37"/>
      <c r="D72" s="35">
        <v>1.3</v>
      </c>
      <c r="E72" s="35">
        <v>2.2000000000000002</v>
      </c>
      <c r="F72" s="38">
        <f>(D72+E72)/2</f>
        <v>1.75</v>
      </c>
    </row>
    <row r="73" spans="1:6" ht="16" customHeight="1">
      <c r="A73" s="43"/>
      <c r="B73" s="44" t="s">
        <v>124</v>
      </c>
      <c r="C73" s="33"/>
      <c r="D73" s="31">
        <v>1.6</v>
      </c>
      <c r="E73" s="31">
        <v>1.3</v>
      </c>
      <c r="F73" s="34">
        <f>(D73+E73)/2</f>
        <v>1.4500000000000002</v>
      </c>
    </row>
    <row r="74" spans="1:6" ht="16" customHeight="1">
      <c r="A74" s="39">
        <v>19</v>
      </c>
      <c r="B74" s="40" t="s">
        <v>59</v>
      </c>
      <c r="C74" s="41" t="s">
        <v>160</v>
      </c>
      <c r="D74" s="39"/>
      <c r="E74" s="39"/>
      <c r="F74" s="42"/>
    </row>
    <row r="75" spans="1:6" ht="16" customHeight="1">
      <c r="A75" s="43"/>
      <c r="B75" s="32" t="s">
        <v>57</v>
      </c>
      <c r="C75" s="33"/>
      <c r="D75" s="43">
        <f>120/1000</f>
        <v>0.12</v>
      </c>
      <c r="E75" s="43">
        <f>750/1000</f>
        <v>0.75</v>
      </c>
      <c r="F75" s="34">
        <f>(D75+E75)/2</f>
        <v>0.435</v>
      </c>
    </row>
    <row r="76" spans="1:6" ht="16" customHeight="1">
      <c r="A76" s="45"/>
      <c r="B76" s="36" t="s">
        <v>49</v>
      </c>
      <c r="C76" s="37"/>
      <c r="D76" s="35">
        <v>1.4</v>
      </c>
      <c r="E76" s="35">
        <v>2.2000000000000002</v>
      </c>
      <c r="F76" s="38">
        <f>(D76+E76)/2</f>
        <v>1.8</v>
      </c>
    </row>
    <row r="77" spans="1:6" ht="16" customHeight="1">
      <c r="A77" s="43"/>
      <c r="B77" s="32" t="s">
        <v>124</v>
      </c>
      <c r="C77" s="33"/>
      <c r="D77" s="31">
        <v>1.7</v>
      </c>
      <c r="E77" s="31">
        <v>1.2</v>
      </c>
      <c r="F77" s="34">
        <f>(D77+E77)/2</f>
        <v>1.45</v>
      </c>
    </row>
    <row r="78" spans="1:6" ht="16" customHeight="1">
      <c r="A78" s="39">
        <v>20</v>
      </c>
      <c r="B78" s="40" t="s">
        <v>61</v>
      </c>
      <c r="C78" s="41" t="s">
        <v>161</v>
      </c>
      <c r="D78" s="39"/>
      <c r="E78" s="39"/>
      <c r="F78" s="42"/>
    </row>
    <row r="79" spans="1:6" ht="16" customHeight="1">
      <c r="A79" s="43"/>
      <c r="B79" s="44" t="s">
        <v>81</v>
      </c>
      <c r="C79" s="33"/>
      <c r="D79" s="31">
        <v>1.5</v>
      </c>
      <c r="E79" s="31">
        <v>1.1000000000000001</v>
      </c>
      <c r="F79" s="34">
        <f>(D79+E79)/2</f>
        <v>1.3</v>
      </c>
    </row>
    <row r="80" spans="1:6" ht="16" customHeight="1">
      <c r="A80" s="45"/>
      <c r="B80" s="46" t="s">
        <v>79</v>
      </c>
      <c r="C80" s="37"/>
      <c r="D80" s="35">
        <v>1.5</v>
      </c>
      <c r="E80" s="35">
        <v>1.1000000000000001</v>
      </c>
      <c r="F80" s="38">
        <f>(D80+E80)/2</f>
        <v>1.3</v>
      </c>
    </row>
    <row r="81" spans="1:6" ht="16" customHeight="1">
      <c r="A81" s="43"/>
      <c r="B81" s="44" t="s">
        <v>140</v>
      </c>
      <c r="C81" s="33"/>
      <c r="D81" s="31">
        <v>1.9</v>
      </c>
      <c r="E81" s="31">
        <v>1.7</v>
      </c>
      <c r="F81" s="34">
        <f>(D81+E81)/2</f>
        <v>1.7999999999999998</v>
      </c>
    </row>
    <row r="82" spans="1:6" ht="16" customHeight="1">
      <c r="A82" s="39">
        <v>21</v>
      </c>
      <c r="B82" s="40" t="s">
        <v>63</v>
      </c>
      <c r="C82" s="41" t="s">
        <v>162</v>
      </c>
      <c r="D82" s="39"/>
      <c r="E82" s="39"/>
      <c r="F82" s="42"/>
    </row>
    <row r="83" spans="1:6" ht="16" customHeight="1">
      <c r="A83" s="43"/>
      <c r="B83" s="32" t="s">
        <v>109</v>
      </c>
      <c r="C83" s="33"/>
      <c r="D83" s="31">
        <v>1.3</v>
      </c>
      <c r="E83" s="31">
        <v>1</v>
      </c>
      <c r="F83" s="34">
        <f>(D83+E83)/2</f>
        <v>1.1499999999999999</v>
      </c>
    </row>
    <row r="84" spans="1:6" ht="16" customHeight="1">
      <c r="A84" s="45"/>
      <c r="B84" s="36" t="s">
        <v>115</v>
      </c>
      <c r="C84" s="37"/>
      <c r="D84" s="35">
        <v>1.3</v>
      </c>
      <c r="E84" s="35">
        <v>1.5</v>
      </c>
      <c r="F84" s="38">
        <f>(D84+E84)/2</f>
        <v>1.4</v>
      </c>
    </row>
    <row r="85" spans="1:6" ht="16" customHeight="1">
      <c r="A85" s="43"/>
      <c r="B85" s="32" t="s">
        <v>117</v>
      </c>
      <c r="C85" s="33"/>
      <c r="D85" s="31">
        <v>1.4</v>
      </c>
      <c r="E85" s="31">
        <v>1.4</v>
      </c>
      <c r="F85" s="34">
        <f>(D85+E85)/2</f>
        <v>1.4</v>
      </c>
    </row>
    <row r="86" spans="1:6" ht="16" customHeight="1">
      <c r="A86" s="47">
        <v>22</v>
      </c>
      <c r="B86" s="48" t="s">
        <v>66</v>
      </c>
      <c r="C86" s="49" t="s">
        <v>163</v>
      </c>
      <c r="D86" s="83" t="s">
        <v>210</v>
      </c>
      <c r="E86" s="83"/>
      <c r="F86" s="83"/>
    </row>
    <row r="87" spans="1:6" ht="16" customHeight="1">
      <c r="A87" s="43"/>
      <c r="B87" s="44" t="s">
        <v>13</v>
      </c>
      <c r="C87" s="33"/>
      <c r="D87" s="31">
        <v>9.5</v>
      </c>
      <c r="E87" s="31">
        <v>10</v>
      </c>
      <c r="F87" s="34">
        <f>(D87+E87)/2</f>
        <v>9.75</v>
      </c>
    </row>
    <row r="88" spans="1:6" ht="16" customHeight="1">
      <c r="A88" s="45"/>
      <c r="B88" s="46" t="s">
        <v>22</v>
      </c>
      <c r="C88" s="37"/>
      <c r="D88" s="35">
        <v>9.6999999999999993</v>
      </c>
      <c r="E88" s="35">
        <v>9.6999999999999993</v>
      </c>
      <c r="F88" s="38">
        <f>(D88+E88)/2</f>
        <v>9.6999999999999993</v>
      </c>
    </row>
    <row r="89" spans="1:6" ht="16" customHeight="1">
      <c r="A89" s="43"/>
      <c r="B89" s="44" t="s">
        <v>40</v>
      </c>
      <c r="C89" s="33"/>
      <c r="D89" s="31">
        <v>9.6999999999999993</v>
      </c>
      <c r="E89" s="31">
        <v>9.3000000000000007</v>
      </c>
      <c r="F89" s="34">
        <f>(D89+E89)/2</f>
        <v>9.5</v>
      </c>
    </row>
    <row r="90" spans="1:6" ht="16" customHeight="1">
      <c r="A90" s="39">
        <v>23</v>
      </c>
      <c r="B90" s="40" t="s">
        <v>68</v>
      </c>
      <c r="C90" s="41" t="s">
        <v>164</v>
      </c>
      <c r="D90" s="39"/>
      <c r="E90" s="39"/>
      <c r="F90" s="42"/>
    </row>
    <row r="91" spans="1:6" ht="16" customHeight="1">
      <c r="A91" s="43"/>
      <c r="B91" s="32" t="s">
        <v>126</v>
      </c>
      <c r="C91" s="33"/>
      <c r="D91" s="43">
        <f t="shared" ref="D91:D92" si="1">850/1000</f>
        <v>0.85</v>
      </c>
      <c r="E91" s="43">
        <f>650/1000</f>
        <v>0.65</v>
      </c>
      <c r="F91" s="34">
        <f>(D91+E91)/2</f>
        <v>0.75</v>
      </c>
    </row>
    <row r="92" spans="1:6" ht="16" customHeight="1">
      <c r="A92" s="45"/>
      <c r="B92" s="36" t="s">
        <v>53</v>
      </c>
      <c r="C92" s="37"/>
      <c r="D92" s="45">
        <f t="shared" si="1"/>
        <v>0.85</v>
      </c>
      <c r="E92" s="45">
        <f>900/1000</f>
        <v>0.9</v>
      </c>
      <c r="F92" s="38">
        <f>(D92+E92)/2</f>
        <v>0.875</v>
      </c>
    </row>
    <row r="93" spans="1:6" ht="16" customHeight="1">
      <c r="A93" s="43"/>
      <c r="B93" s="32" t="s">
        <v>74</v>
      </c>
      <c r="C93" s="33"/>
      <c r="D93" s="43">
        <f>650/1000</f>
        <v>0.65</v>
      </c>
      <c r="E93" s="43">
        <f>550/1000</f>
        <v>0.55000000000000004</v>
      </c>
      <c r="F93" s="34">
        <f>(D93+E93)/2</f>
        <v>0.60000000000000009</v>
      </c>
    </row>
    <row r="94" spans="1:6" ht="16" customHeight="1">
      <c r="A94" s="39">
        <v>24</v>
      </c>
      <c r="B94" s="40" t="s">
        <v>70</v>
      </c>
      <c r="C94" s="41" t="s">
        <v>165</v>
      </c>
      <c r="D94" s="39"/>
      <c r="E94" s="39"/>
      <c r="F94" s="42"/>
    </row>
    <row r="95" spans="1:6" ht="16" customHeight="1">
      <c r="A95" s="43"/>
      <c r="B95" s="44" t="s">
        <v>140</v>
      </c>
      <c r="C95" s="33"/>
      <c r="D95" s="43">
        <f t="shared" ref="D95:E95" si="2">450/1000</f>
        <v>0.45</v>
      </c>
      <c r="E95" s="43">
        <f t="shared" si="2"/>
        <v>0.45</v>
      </c>
      <c r="F95" s="34">
        <f>(D95+E95)/2</f>
        <v>0.45</v>
      </c>
    </row>
    <row r="96" spans="1:6" ht="16" customHeight="1">
      <c r="A96" s="45"/>
      <c r="B96" s="46" t="s">
        <v>74</v>
      </c>
      <c r="C96" s="37"/>
      <c r="D96" s="35">
        <v>1</v>
      </c>
      <c r="E96" s="45">
        <f>900/1000</f>
        <v>0.9</v>
      </c>
      <c r="F96" s="38">
        <f>(D96+E96)/2</f>
        <v>0.95</v>
      </c>
    </row>
    <row r="97" spans="1:6" ht="16" customHeight="1">
      <c r="A97" s="43"/>
      <c r="B97" s="44" t="s">
        <v>103</v>
      </c>
      <c r="C97" s="33"/>
      <c r="D97" s="31">
        <v>1.2</v>
      </c>
      <c r="E97" s="31">
        <v>1.5</v>
      </c>
      <c r="F97" s="34">
        <f>(D97+E97)/2</f>
        <v>1.35</v>
      </c>
    </row>
    <row r="98" spans="1:6" ht="16" customHeight="1">
      <c r="A98" s="39">
        <v>25</v>
      </c>
      <c r="B98" s="40" t="s">
        <v>72</v>
      </c>
      <c r="C98" s="41" t="s">
        <v>166</v>
      </c>
      <c r="D98" s="39"/>
      <c r="E98" s="39"/>
      <c r="F98" s="42"/>
    </row>
    <row r="99" spans="1:6" ht="16" customHeight="1">
      <c r="A99" s="43"/>
      <c r="B99" s="32" t="s">
        <v>115</v>
      </c>
      <c r="C99" s="33"/>
      <c r="D99" s="43">
        <f>950/1000</f>
        <v>0.95</v>
      </c>
      <c r="E99" s="31">
        <v>1</v>
      </c>
      <c r="F99" s="34">
        <f>(D99+E99)/2</f>
        <v>0.97499999999999998</v>
      </c>
    </row>
    <row r="100" spans="1:6" ht="16" customHeight="1">
      <c r="A100" s="45"/>
      <c r="B100" s="36" t="s">
        <v>109</v>
      </c>
      <c r="C100" s="37"/>
      <c r="D100" s="45">
        <f>650/1000</f>
        <v>0.65</v>
      </c>
      <c r="E100" s="35">
        <v>1.4</v>
      </c>
      <c r="F100" s="38">
        <f>(D100+E100)/2</f>
        <v>1.0249999999999999</v>
      </c>
    </row>
    <row r="101" spans="1:6" ht="16" customHeight="1">
      <c r="A101" s="43"/>
      <c r="B101" s="32" t="s">
        <v>53</v>
      </c>
      <c r="C101" s="33"/>
      <c r="D101" s="31">
        <v>1.6</v>
      </c>
      <c r="E101" s="43">
        <f>500/1000</f>
        <v>0.5</v>
      </c>
      <c r="F101" s="34">
        <f>(D101+E101)/2</f>
        <v>1.05</v>
      </c>
    </row>
    <row r="102" spans="1:6" ht="16" customHeight="1">
      <c r="A102" s="39">
        <v>26</v>
      </c>
      <c r="B102" s="40" t="s">
        <v>74</v>
      </c>
      <c r="C102" s="41" t="s">
        <v>167</v>
      </c>
      <c r="D102" s="39"/>
      <c r="E102" s="39"/>
      <c r="F102" s="42"/>
    </row>
    <row r="103" spans="1:6" ht="16" customHeight="1">
      <c r="A103" s="43"/>
      <c r="B103" s="44" t="s">
        <v>68</v>
      </c>
      <c r="C103" s="33"/>
      <c r="D103" s="43">
        <f>550/1000</f>
        <v>0.55000000000000004</v>
      </c>
      <c r="E103" s="43">
        <f>650/1000</f>
        <v>0.65</v>
      </c>
      <c r="F103" s="34">
        <f>(D103+E103)/2</f>
        <v>0.60000000000000009</v>
      </c>
    </row>
    <row r="104" spans="1:6" ht="16" customHeight="1">
      <c r="A104" s="45"/>
      <c r="B104" s="46" t="s">
        <v>70</v>
      </c>
      <c r="C104" s="37"/>
      <c r="D104" s="45">
        <f t="shared" ref="D104:D105" si="3">900/1000</f>
        <v>0.9</v>
      </c>
      <c r="E104" s="35">
        <v>1</v>
      </c>
      <c r="F104" s="38">
        <f>(D104+E104)/2</f>
        <v>0.95</v>
      </c>
    </row>
    <row r="105" spans="1:6" ht="16" customHeight="1">
      <c r="A105" s="43"/>
      <c r="B105" s="44" t="s">
        <v>126</v>
      </c>
      <c r="C105" s="33"/>
      <c r="D105" s="43">
        <f t="shared" si="3"/>
        <v>0.9</v>
      </c>
      <c r="E105" s="43">
        <f>850/1000</f>
        <v>0.85</v>
      </c>
      <c r="F105" s="34">
        <f>(D105+E105)/2</f>
        <v>0.875</v>
      </c>
    </row>
    <row r="106" spans="1:6" ht="16" customHeight="1">
      <c r="A106" s="39">
        <v>27</v>
      </c>
      <c r="B106" s="40" t="s">
        <v>76</v>
      </c>
      <c r="C106" s="41" t="s">
        <v>168</v>
      </c>
      <c r="D106" s="39"/>
      <c r="E106" s="39"/>
      <c r="F106" s="42"/>
    </row>
    <row r="107" spans="1:6" ht="16" customHeight="1">
      <c r="A107" s="43"/>
      <c r="B107" s="32" t="s">
        <v>31</v>
      </c>
      <c r="C107" s="33"/>
      <c r="D107" s="31">
        <v>5.3</v>
      </c>
      <c r="E107" s="43">
        <f>700/1000</f>
        <v>0.7</v>
      </c>
      <c r="F107" s="34">
        <f>(D107+E107)/2</f>
        <v>3</v>
      </c>
    </row>
    <row r="108" spans="1:6" ht="16" customHeight="1">
      <c r="A108" s="45"/>
      <c r="B108" s="36" t="s">
        <v>101</v>
      </c>
      <c r="C108" s="37"/>
      <c r="D108" s="35">
        <v>1.3</v>
      </c>
      <c r="E108" s="35">
        <v>1.7</v>
      </c>
      <c r="F108" s="38">
        <f>(D108+E108)/2</f>
        <v>1.5</v>
      </c>
    </row>
    <row r="109" spans="1:6" ht="16" customHeight="1">
      <c r="A109" s="43"/>
      <c r="B109" s="32" t="s">
        <v>106</v>
      </c>
      <c r="C109" s="33"/>
      <c r="D109" s="31">
        <v>1.4</v>
      </c>
      <c r="E109" s="31">
        <v>2.5</v>
      </c>
      <c r="F109" s="34">
        <f>(D109+E109)/2</f>
        <v>1.95</v>
      </c>
    </row>
    <row r="110" spans="1:6" ht="16" customHeight="1">
      <c r="A110" s="39">
        <v>28</v>
      </c>
      <c r="B110" s="40" t="s">
        <v>65</v>
      </c>
      <c r="C110" s="41" t="s">
        <v>169</v>
      </c>
      <c r="D110" s="39"/>
      <c r="E110" s="39"/>
      <c r="F110" s="42"/>
    </row>
    <row r="111" spans="1:6" ht="16" customHeight="1">
      <c r="A111" s="43"/>
      <c r="B111" s="44" t="s">
        <v>92</v>
      </c>
      <c r="C111" s="33"/>
      <c r="D111" s="31">
        <v>1.5</v>
      </c>
      <c r="E111" s="43">
        <f>900/1000</f>
        <v>0.9</v>
      </c>
      <c r="F111" s="34">
        <f>(D111+E111)/2</f>
        <v>1.2</v>
      </c>
    </row>
    <row r="112" spans="1:6" ht="16" customHeight="1">
      <c r="A112" s="45"/>
      <c r="B112" s="46" t="s">
        <v>52</v>
      </c>
      <c r="C112" s="37"/>
      <c r="D112" s="45">
        <f>700/1000</f>
        <v>0.7</v>
      </c>
      <c r="E112" s="45">
        <f t="shared" ref="E112:E113" si="4">650/1000</f>
        <v>0.65</v>
      </c>
      <c r="F112" s="38">
        <f>(D112+E112)/2</f>
        <v>0.67500000000000004</v>
      </c>
    </row>
    <row r="113" spans="1:6" ht="16" customHeight="1">
      <c r="A113" s="43"/>
      <c r="B113" s="44" t="s">
        <v>18</v>
      </c>
      <c r="C113" s="33"/>
      <c r="D113" s="31">
        <v>1.9</v>
      </c>
      <c r="E113" s="43">
        <f t="shared" si="4"/>
        <v>0.65</v>
      </c>
      <c r="F113" s="34">
        <f>(D113+E113)/2</f>
        <v>1.2749999999999999</v>
      </c>
    </row>
    <row r="114" spans="1:6" ht="16" customHeight="1">
      <c r="A114" s="39">
        <v>29</v>
      </c>
      <c r="B114" s="40" t="s">
        <v>79</v>
      </c>
      <c r="C114" s="41" t="s">
        <v>170</v>
      </c>
      <c r="D114" s="39"/>
      <c r="E114" s="39"/>
      <c r="F114" s="42"/>
    </row>
    <row r="115" spans="1:6" ht="16" customHeight="1">
      <c r="A115" s="43"/>
      <c r="B115" s="32" t="s">
        <v>81</v>
      </c>
      <c r="C115" s="33"/>
      <c r="D115" s="31">
        <v>0</v>
      </c>
      <c r="E115" s="31">
        <v>0</v>
      </c>
      <c r="F115" s="34">
        <f>(D115+E115)/2</f>
        <v>0</v>
      </c>
    </row>
    <row r="116" spans="1:6" ht="16" customHeight="1">
      <c r="A116" s="45"/>
      <c r="B116" s="36" t="s">
        <v>61</v>
      </c>
      <c r="C116" s="37"/>
      <c r="D116" s="35">
        <v>1.1000000000000001</v>
      </c>
      <c r="E116" s="35">
        <v>1.5</v>
      </c>
      <c r="F116" s="38">
        <f>(D116+E116)/2</f>
        <v>1.3</v>
      </c>
    </row>
    <row r="117" spans="1:6" ht="16" customHeight="1">
      <c r="A117" s="43"/>
      <c r="B117" s="32" t="s">
        <v>84</v>
      </c>
      <c r="C117" s="33"/>
      <c r="D117" s="31">
        <v>2.9</v>
      </c>
      <c r="E117" s="31">
        <v>1.9</v>
      </c>
      <c r="F117" s="34">
        <f>(D117+E117)/2</f>
        <v>2.4</v>
      </c>
    </row>
    <row r="118" spans="1:6" ht="16" customHeight="1">
      <c r="A118" s="39">
        <v>30</v>
      </c>
      <c r="B118" s="40" t="s">
        <v>81</v>
      </c>
      <c r="C118" s="41" t="s">
        <v>170</v>
      </c>
      <c r="D118" s="39"/>
      <c r="E118" s="39"/>
      <c r="F118" s="42"/>
    </row>
    <row r="119" spans="1:6" ht="16" customHeight="1">
      <c r="A119" s="43"/>
      <c r="B119" s="44" t="s">
        <v>79</v>
      </c>
      <c r="C119" s="33"/>
      <c r="D119" s="31">
        <v>0</v>
      </c>
      <c r="E119" s="31">
        <v>0</v>
      </c>
      <c r="F119" s="34">
        <f>(D119+E119)/2</f>
        <v>0</v>
      </c>
    </row>
    <row r="120" spans="1:6" ht="16" customHeight="1">
      <c r="A120" s="45"/>
      <c r="B120" s="46" t="s">
        <v>61</v>
      </c>
      <c r="C120" s="37"/>
      <c r="D120" s="35">
        <v>1.1000000000000001</v>
      </c>
      <c r="E120" s="35">
        <v>1.5</v>
      </c>
      <c r="F120" s="38">
        <f>(D120+E120)/2</f>
        <v>1.3</v>
      </c>
    </row>
    <row r="121" spans="1:6" ht="16" customHeight="1">
      <c r="A121" s="43"/>
      <c r="B121" s="44" t="s">
        <v>84</v>
      </c>
      <c r="C121" s="33"/>
      <c r="D121" s="31">
        <v>2.9</v>
      </c>
      <c r="E121" s="31">
        <v>1.9</v>
      </c>
      <c r="F121" s="34">
        <f>(D121+E121)/2</f>
        <v>2.4</v>
      </c>
    </row>
    <row r="122" spans="1:6" ht="16" customHeight="1">
      <c r="A122" s="39">
        <v>31</v>
      </c>
      <c r="B122" s="40" t="s">
        <v>84</v>
      </c>
      <c r="C122" s="41" t="s">
        <v>171</v>
      </c>
      <c r="D122" s="39"/>
      <c r="E122" s="39"/>
      <c r="F122" s="42"/>
    </row>
    <row r="123" spans="1:6" ht="16" customHeight="1">
      <c r="A123" s="43"/>
      <c r="B123" s="32" t="s">
        <v>103</v>
      </c>
      <c r="C123" s="33"/>
      <c r="D123" s="31">
        <v>1</v>
      </c>
      <c r="E123" s="43">
        <f>500/1000</f>
        <v>0.5</v>
      </c>
      <c r="F123" s="34">
        <f>(D123+E123)/2</f>
        <v>0.75</v>
      </c>
    </row>
    <row r="124" spans="1:6" ht="16" customHeight="1">
      <c r="A124" s="45"/>
      <c r="B124" s="36" t="s">
        <v>55</v>
      </c>
      <c r="C124" s="37"/>
      <c r="D124" s="35">
        <v>1</v>
      </c>
      <c r="E124" s="35">
        <v>1.1000000000000001</v>
      </c>
      <c r="F124" s="38">
        <f>(D124+E124)/2</f>
        <v>1.05</v>
      </c>
    </row>
    <row r="125" spans="1:6" ht="16" customHeight="1">
      <c r="A125" s="43"/>
      <c r="B125" s="32" t="s">
        <v>70</v>
      </c>
      <c r="C125" s="33"/>
      <c r="D125" s="31">
        <v>1.4</v>
      </c>
      <c r="E125" s="31">
        <v>1.1000000000000001</v>
      </c>
      <c r="F125" s="34">
        <f>(D125+E125)/2</f>
        <v>1.25</v>
      </c>
    </row>
    <row r="126" spans="1:6" ht="16" customHeight="1">
      <c r="A126" s="39">
        <v>32</v>
      </c>
      <c r="B126" s="40" t="s">
        <v>86</v>
      </c>
      <c r="C126" s="41" t="s">
        <v>172</v>
      </c>
      <c r="D126" s="39"/>
      <c r="E126" s="39"/>
      <c r="F126" s="42"/>
    </row>
    <row r="127" spans="1:6" ht="16" customHeight="1">
      <c r="A127" s="43"/>
      <c r="B127" s="44" t="s">
        <v>97</v>
      </c>
      <c r="C127" s="33"/>
      <c r="D127" s="43">
        <f>350/1000</f>
        <v>0.35</v>
      </c>
      <c r="E127" s="31">
        <v>1.4</v>
      </c>
      <c r="F127" s="34">
        <f>(D127+E127)/2</f>
        <v>0.875</v>
      </c>
    </row>
    <row r="128" spans="1:6" ht="16" customHeight="1">
      <c r="A128" s="45"/>
      <c r="B128" s="46" t="s">
        <v>55</v>
      </c>
      <c r="C128" s="37"/>
      <c r="D128" s="35">
        <v>1.9</v>
      </c>
      <c r="E128" s="35">
        <v>2.2000000000000002</v>
      </c>
      <c r="F128" s="38">
        <f>(D128+E128)/2</f>
        <v>2.0499999999999998</v>
      </c>
    </row>
    <row r="129" spans="1:6" ht="16" customHeight="1">
      <c r="A129" s="43"/>
      <c r="B129" s="44" t="s">
        <v>79</v>
      </c>
      <c r="C129" s="33"/>
      <c r="D129" s="31">
        <v>1.4</v>
      </c>
      <c r="E129" s="31">
        <v>1.5</v>
      </c>
      <c r="F129" s="34">
        <f>(D129+E129)/2</f>
        <v>1.45</v>
      </c>
    </row>
    <row r="130" spans="1:6" ht="16" customHeight="1">
      <c r="A130" s="39">
        <v>33</v>
      </c>
      <c r="B130" s="40" t="s">
        <v>88</v>
      </c>
      <c r="C130" s="41" t="s">
        <v>173</v>
      </c>
      <c r="D130" s="39"/>
      <c r="E130" s="39"/>
      <c r="F130" s="42"/>
    </row>
    <row r="131" spans="1:6" ht="16" customHeight="1">
      <c r="A131" s="43"/>
      <c r="B131" s="32" t="s">
        <v>90</v>
      </c>
      <c r="C131" s="33"/>
      <c r="D131" s="31">
        <v>2.6</v>
      </c>
      <c r="E131" s="31">
        <v>1.7</v>
      </c>
      <c r="F131" s="34">
        <f>(D131+E131)/2</f>
        <v>2.15</v>
      </c>
    </row>
    <row r="132" spans="1:6" ht="16" customHeight="1">
      <c r="A132" s="45"/>
      <c r="B132" s="36" t="s">
        <v>97</v>
      </c>
      <c r="C132" s="37"/>
      <c r="D132" s="35">
        <v>1.3</v>
      </c>
      <c r="E132" s="35">
        <v>1.9</v>
      </c>
      <c r="F132" s="38">
        <f>(D132+E132)/2</f>
        <v>1.6</v>
      </c>
    </row>
    <row r="133" spans="1:6" ht="16" customHeight="1">
      <c r="A133" s="43"/>
      <c r="B133" s="32" t="s">
        <v>133</v>
      </c>
      <c r="C133" s="33"/>
      <c r="D133" s="31">
        <v>2.2000000000000002</v>
      </c>
      <c r="E133" s="31">
        <v>1.5</v>
      </c>
      <c r="F133" s="34">
        <f>(D133+E133)/2</f>
        <v>1.85</v>
      </c>
    </row>
    <row r="134" spans="1:6" ht="16" customHeight="1">
      <c r="A134" s="39">
        <v>34</v>
      </c>
      <c r="B134" s="40" t="s">
        <v>90</v>
      </c>
      <c r="C134" s="41" t="s">
        <v>174</v>
      </c>
      <c r="D134" s="39"/>
      <c r="E134" s="39"/>
      <c r="F134" s="42"/>
    </row>
    <row r="135" spans="1:6" ht="16" customHeight="1">
      <c r="A135" s="43"/>
      <c r="B135" s="44" t="s">
        <v>88</v>
      </c>
      <c r="C135" s="33"/>
      <c r="D135" s="31">
        <v>1.7</v>
      </c>
      <c r="E135" s="31">
        <v>2.6</v>
      </c>
      <c r="F135" s="34">
        <f>(D135+E135)/2</f>
        <v>2.15</v>
      </c>
    </row>
    <row r="136" spans="1:6" ht="16" customHeight="1">
      <c r="A136" s="45"/>
      <c r="B136" s="46" t="s">
        <v>25</v>
      </c>
      <c r="C136" s="37"/>
      <c r="D136" s="35">
        <v>1</v>
      </c>
      <c r="E136" s="35">
        <v>1</v>
      </c>
      <c r="F136" s="38">
        <f>(D136+E136)/2</f>
        <v>1</v>
      </c>
    </row>
    <row r="137" spans="1:6" ht="16" customHeight="1">
      <c r="A137" s="43"/>
      <c r="B137" s="44" t="s">
        <v>106</v>
      </c>
      <c r="C137" s="33"/>
      <c r="D137" s="31">
        <v>1.7</v>
      </c>
      <c r="E137" s="31">
        <v>2.1</v>
      </c>
      <c r="F137" s="34">
        <f>(D137+E137)/2</f>
        <v>1.9</v>
      </c>
    </row>
    <row r="138" spans="1:6" ht="16" customHeight="1">
      <c r="A138" s="39">
        <v>35</v>
      </c>
      <c r="B138" s="40" t="s">
        <v>93</v>
      </c>
      <c r="C138" s="41" t="s">
        <v>175</v>
      </c>
      <c r="D138" s="39"/>
      <c r="E138" s="39"/>
      <c r="F138" s="42"/>
    </row>
    <row r="139" spans="1:6" ht="16" customHeight="1">
      <c r="A139" s="43"/>
      <c r="B139" s="32" t="s">
        <v>131</v>
      </c>
      <c r="C139" s="33"/>
      <c r="D139" s="31">
        <v>4.2</v>
      </c>
      <c r="E139" s="43">
        <f>900/1000</f>
        <v>0.9</v>
      </c>
      <c r="F139" s="34">
        <f>(D139+E139)/2</f>
        <v>2.5500000000000003</v>
      </c>
    </row>
    <row r="140" spans="1:6" ht="16" customHeight="1">
      <c r="A140" s="45"/>
      <c r="B140" s="36" t="s">
        <v>49</v>
      </c>
      <c r="C140" s="37"/>
      <c r="D140" s="35">
        <v>2</v>
      </c>
      <c r="E140" s="35">
        <v>1.8</v>
      </c>
      <c r="F140" s="38">
        <f>(D140+E140)/2</f>
        <v>1.9</v>
      </c>
    </row>
    <row r="141" spans="1:6" ht="16" customHeight="1">
      <c r="A141" s="43"/>
      <c r="B141" s="32" t="s">
        <v>95</v>
      </c>
      <c r="C141" s="33"/>
      <c r="D141" s="31">
        <v>3.9</v>
      </c>
      <c r="E141" s="31">
        <v>2.2000000000000002</v>
      </c>
      <c r="F141" s="34">
        <f>(D141+E141)/2</f>
        <v>3.05</v>
      </c>
    </row>
    <row r="142" spans="1:6" ht="16" customHeight="1">
      <c r="A142" s="39">
        <v>36</v>
      </c>
      <c r="B142" s="40" t="s">
        <v>97</v>
      </c>
      <c r="C142" s="41" t="s">
        <v>176</v>
      </c>
      <c r="D142" s="39"/>
      <c r="E142" s="39"/>
      <c r="F142" s="42"/>
    </row>
    <row r="143" spans="1:6" ht="16" customHeight="1">
      <c r="A143" s="43"/>
      <c r="B143" s="44" t="s">
        <v>86</v>
      </c>
      <c r="C143" s="33"/>
      <c r="D143" s="31">
        <v>1.4</v>
      </c>
      <c r="E143" s="43">
        <f>350/1000</f>
        <v>0.35</v>
      </c>
      <c r="F143" s="34">
        <f>(D143+E143)/2</f>
        <v>0.875</v>
      </c>
    </row>
    <row r="144" spans="1:6" ht="16" customHeight="1">
      <c r="A144" s="45"/>
      <c r="B144" s="46" t="s">
        <v>88</v>
      </c>
      <c r="C144" s="37"/>
      <c r="D144" s="35">
        <v>1.9</v>
      </c>
      <c r="E144" s="35">
        <v>1.3</v>
      </c>
      <c r="F144" s="38">
        <f>(D144+E144)/2</f>
        <v>1.6</v>
      </c>
    </row>
    <row r="145" spans="1:6" ht="16" customHeight="1">
      <c r="A145" s="43"/>
      <c r="B145" s="44" t="s">
        <v>55</v>
      </c>
      <c r="C145" s="33"/>
      <c r="D145" s="31">
        <v>1.6</v>
      </c>
      <c r="E145" s="31">
        <v>2.1</v>
      </c>
      <c r="F145" s="34">
        <f>(D145+E145)/2</f>
        <v>1.85</v>
      </c>
    </row>
    <row r="146" spans="1:6" ht="16" customHeight="1">
      <c r="A146" s="39">
        <v>37</v>
      </c>
      <c r="B146" s="40" t="s">
        <v>99</v>
      </c>
      <c r="C146" s="41" t="s">
        <v>177</v>
      </c>
      <c r="D146" s="39"/>
      <c r="E146" s="39"/>
      <c r="F146" s="42"/>
    </row>
    <row r="147" spans="1:6" ht="16" customHeight="1">
      <c r="A147" s="43"/>
      <c r="B147" s="32" t="s">
        <v>38</v>
      </c>
      <c r="C147" s="33"/>
      <c r="D147" s="43">
        <f>850/1000</f>
        <v>0.85</v>
      </c>
      <c r="E147" s="43">
        <f>900/1000</f>
        <v>0.9</v>
      </c>
      <c r="F147" s="34">
        <f>(D147+E147)/2</f>
        <v>0.875</v>
      </c>
    </row>
    <row r="148" spans="1:6" ht="16" customHeight="1">
      <c r="A148" s="45"/>
      <c r="B148" s="36" t="s">
        <v>117</v>
      </c>
      <c r="C148" s="37"/>
      <c r="D148" s="35">
        <v>1.7</v>
      </c>
      <c r="E148" s="35">
        <v>1.5</v>
      </c>
      <c r="F148" s="38">
        <f>(D148+E148)/2</f>
        <v>1.6</v>
      </c>
    </row>
    <row r="149" spans="1:6" ht="16" customHeight="1">
      <c r="A149" s="43"/>
      <c r="B149" s="32" t="s">
        <v>35</v>
      </c>
      <c r="C149" s="33"/>
      <c r="D149" s="31">
        <v>1.5</v>
      </c>
      <c r="E149" s="31">
        <v>1.5</v>
      </c>
      <c r="F149" s="34">
        <f>(D149+E149)/2</f>
        <v>1.5</v>
      </c>
    </row>
    <row r="150" spans="1:6" ht="16" customHeight="1">
      <c r="A150" s="39">
        <v>38</v>
      </c>
      <c r="B150" s="40" t="s">
        <v>101</v>
      </c>
      <c r="C150" s="41" t="s">
        <v>178</v>
      </c>
      <c r="D150" s="39"/>
      <c r="E150" s="39"/>
      <c r="F150" s="42"/>
    </row>
    <row r="151" spans="1:6" ht="16" customHeight="1">
      <c r="A151" s="43"/>
      <c r="B151" s="44" t="s">
        <v>106</v>
      </c>
      <c r="C151" s="33"/>
      <c r="D151" s="43">
        <f>700/1000</f>
        <v>0.7</v>
      </c>
      <c r="E151" s="31">
        <v>3.4</v>
      </c>
      <c r="F151" s="34">
        <f>(D151+E151)/2</f>
        <v>2.0499999999999998</v>
      </c>
    </row>
    <row r="152" spans="1:6" ht="16" customHeight="1">
      <c r="A152" s="45"/>
      <c r="B152" s="46" t="s">
        <v>76</v>
      </c>
      <c r="C152" s="37"/>
      <c r="D152" s="35">
        <v>1.7</v>
      </c>
      <c r="E152" s="35">
        <v>1.3</v>
      </c>
      <c r="F152" s="38">
        <f>(D152+E152)/2</f>
        <v>1.5</v>
      </c>
    </row>
    <row r="153" spans="1:6" ht="16" customHeight="1">
      <c r="A153" s="43"/>
      <c r="B153" s="44" t="s">
        <v>25</v>
      </c>
      <c r="C153" s="33"/>
      <c r="D153" s="31">
        <v>1.3</v>
      </c>
      <c r="E153" s="31">
        <v>3.3</v>
      </c>
      <c r="F153" s="34">
        <f>(D153+E153)/2</f>
        <v>2.2999999999999998</v>
      </c>
    </row>
    <row r="154" spans="1:6" ht="16" customHeight="1">
      <c r="A154" s="39">
        <v>39</v>
      </c>
      <c r="B154" s="40" t="s">
        <v>103</v>
      </c>
      <c r="C154" s="41" t="s">
        <v>179</v>
      </c>
      <c r="D154" s="39"/>
      <c r="E154" s="39"/>
      <c r="F154" s="42"/>
    </row>
    <row r="155" spans="1:6" ht="16" customHeight="1">
      <c r="A155" s="43"/>
      <c r="B155" s="32" t="s">
        <v>84</v>
      </c>
      <c r="C155" s="33"/>
      <c r="D155" s="43">
        <f>500/1000</f>
        <v>0.5</v>
      </c>
      <c r="E155" s="31">
        <v>1.2</v>
      </c>
      <c r="F155" s="34">
        <f>(D155+E155)/2</f>
        <v>0.85</v>
      </c>
    </row>
    <row r="156" spans="1:6" ht="16" customHeight="1">
      <c r="A156" s="45"/>
      <c r="B156" s="36" t="s">
        <v>55</v>
      </c>
      <c r="C156" s="37"/>
      <c r="D156" s="35">
        <v>1.1000000000000001</v>
      </c>
      <c r="E156" s="35">
        <v>1.8</v>
      </c>
      <c r="F156" s="38">
        <f>(D156+E156)/2</f>
        <v>1.4500000000000002</v>
      </c>
    </row>
    <row r="157" spans="1:6" ht="16" customHeight="1">
      <c r="A157" s="43"/>
      <c r="B157" s="32" t="s">
        <v>70</v>
      </c>
      <c r="C157" s="33"/>
      <c r="D157" s="31">
        <v>1.5</v>
      </c>
      <c r="E157" s="31">
        <v>1.2</v>
      </c>
      <c r="F157" s="34">
        <f>(D157+E157)/2</f>
        <v>1.35</v>
      </c>
    </row>
    <row r="158" spans="1:6" ht="16" customHeight="1">
      <c r="A158" s="39">
        <v>40</v>
      </c>
      <c r="B158" s="40" t="s">
        <v>22</v>
      </c>
      <c r="C158" s="41" t="s">
        <v>180</v>
      </c>
      <c r="D158" s="39"/>
      <c r="E158" s="39"/>
      <c r="F158" s="42"/>
    </row>
    <row r="159" spans="1:6" ht="16" customHeight="1">
      <c r="A159" s="43"/>
      <c r="B159" s="44" t="s">
        <v>13</v>
      </c>
      <c r="C159" s="33"/>
      <c r="D159" s="31">
        <v>1.8</v>
      </c>
      <c r="E159" s="43">
        <f>260/1000</f>
        <v>0.26</v>
      </c>
      <c r="F159" s="34">
        <f>(D159+E159)/2</f>
        <v>1.03</v>
      </c>
    </row>
    <row r="160" spans="1:6" ht="16" customHeight="1">
      <c r="A160" s="45"/>
      <c r="B160" s="46" t="s">
        <v>36</v>
      </c>
      <c r="C160" s="37"/>
      <c r="D160" s="35">
        <v>2.8</v>
      </c>
      <c r="E160" s="45">
        <f>900/1000</f>
        <v>0.9</v>
      </c>
      <c r="F160" s="38">
        <f>(D160+E160)/2</f>
        <v>1.8499999999999999</v>
      </c>
    </row>
    <row r="161" spans="1:6" ht="16" customHeight="1">
      <c r="A161" s="43"/>
      <c r="B161" s="44" t="s">
        <v>40</v>
      </c>
      <c r="C161" s="33"/>
      <c r="D161" s="31">
        <v>2</v>
      </c>
      <c r="E161" s="31">
        <v>1.6</v>
      </c>
      <c r="F161" s="34">
        <f>(D161+E161)/2</f>
        <v>1.8</v>
      </c>
    </row>
    <row r="162" spans="1:6" ht="16" customHeight="1">
      <c r="A162" s="39">
        <v>41</v>
      </c>
      <c r="B162" s="40" t="s">
        <v>107</v>
      </c>
      <c r="C162" s="41" t="s">
        <v>181</v>
      </c>
      <c r="D162" s="39"/>
      <c r="E162" s="39"/>
      <c r="F162" s="42"/>
    </row>
    <row r="163" spans="1:6" ht="16" customHeight="1">
      <c r="A163" s="43"/>
      <c r="B163" s="32" t="s">
        <v>27</v>
      </c>
      <c r="C163" s="33"/>
      <c r="D163" s="31">
        <v>2.6</v>
      </c>
      <c r="E163" s="31">
        <v>1.8</v>
      </c>
      <c r="F163" s="34">
        <f>(D163+E163)/2</f>
        <v>2.2000000000000002</v>
      </c>
    </row>
    <row r="164" spans="1:6" ht="16" customHeight="1">
      <c r="A164" s="45"/>
      <c r="B164" s="36" t="s">
        <v>101</v>
      </c>
      <c r="C164" s="37"/>
      <c r="D164" s="35">
        <v>2.1</v>
      </c>
      <c r="E164" s="35">
        <v>3.4</v>
      </c>
      <c r="F164" s="38">
        <f>(D164+E164)/2</f>
        <v>2.75</v>
      </c>
    </row>
    <row r="165" spans="1:6" ht="16" customHeight="1">
      <c r="A165" s="43"/>
      <c r="B165" s="32" t="s">
        <v>106</v>
      </c>
      <c r="C165" s="33"/>
      <c r="D165" s="31">
        <v>2.7</v>
      </c>
      <c r="E165" s="31">
        <v>4.0999999999999996</v>
      </c>
      <c r="F165" s="34">
        <f>(D165+E165)/2</f>
        <v>3.4</v>
      </c>
    </row>
    <row r="166" spans="1:6" ht="16" customHeight="1">
      <c r="A166" s="39">
        <v>42</v>
      </c>
      <c r="B166" s="40" t="s">
        <v>109</v>
      </c>
      <c r="C166" s="41" t="s">
        <v>182</v>
      </c>
      <c r="D166" s="39"/>
      <c r="E166" s="39"/>
      <c r="F166" s="42"/>
    </row>
    <row r="167" spans="1:6" ht="16" customHeight="1">
      <c r="A167" s="43"/>
      <c r="B167" s="44" t="s">
        <v>115</v>
      </c>
      <c r="C167" s="33"/>
      <c r="D167" s="43">
        <f>400/1000</f>
        <v>0.4</v>
      </c>
      <c r="E167" s="43">
        <f>600/1000</f>
        <v>0.6</v>
      </c>
      <c r="F167" s="34">
        <f>(D167+E167)/2</f>
        <v>0.5</v>
      </c>
    </row>
    <row r="168" spans="1:6" ht="16" customHeight="1">
      <c r="A168" s="45"/>
      <c r="B168" s="46" t="s">
        <v>72</v>
      </c>
      <c r="C168" s="37"/>
      <c r="D168" s="35">
        <v>1.4</v>
      </c>
      <c r="E168" s="45">
        <f>650/1000</f>
        <v>0.65</v>
      </c>
      <c r="F168" s="38">
        <f>(D168+E168)/2</f>
        <v>1.0249999999999999</v>
      </c>
    </row>
    <row r="169" spans="1:6" ht="16" customHeight="1">
      <c r="A169" s="43"/>
      <c r="B169" s="44" t="s">
        <v>63</v>
      </c>
      <c r="C169" s="33"/>
      <c r="D169" s="31">
        <v>1</v>
      </c>
      <c r="E169" s="31">
        <v>1.3</v>
      </c>
      <c r="F169" s="34">
        <f>(D169+E169)/2</f>
        <v>1.1499999999999999</v>
      </c>
    </row>
    <row r="170" spans="1:6" ht="16" customHeight="1">
      <c r="A170" s="39">
        <v>43</v>
      </c>
      <c r="B170" s="40" t="s">
        <v>111</v>
      </c>
      <c r="C170" s="41" t="s">
        <v>183</v>
      </c>
      <c r="D170" s="39"/>
      <c r="E170" s="39"/>
      <c r="F170" s="42"/>
    </row>
    <row r="171" spans="1:6" ht="16" customHeight="1">
      <c r="A171" s="43"/>
      <c r="B171" s="32" t="s">
        <v>47</v>
      </c>
      <c r="C171" s="33"/>
      <c r="D171" s="31">
        <v>1.9</v>
      </c>
      <c r="E171" s="43">
        <f>900/1000</f>
        <v>0.9</v>
      </c>
      <c r="F171" s="34">
        <f>(D171+E171)/2</f>
        <v>1.4</v>
      </c>
    </row>
    <row r="172" spans="1:6" ht="16" customHeight="1">
      <c r="A172" s="45"/>
      <c r="B172" s="36" t="s">
        <v>18</v>
      </c>
      <c r="C172" s="37"/>
      <c r="D172" s="35">
        <v>1.7</v>
      </c>
      <c r="E172" s="35">
        <v>1.1000000000000001</v>
      </c>
      <c r="F172" s="38">
        <f>(D172+E172)/2</f>
        <v>1.4</v>
      </c>
    </row>
    <row r="173" spans="1:6" ht="16" customHeight="1">
      <c r="A173" s="43"/>
      <c r="B173" s="32" t="s">
        <v>35</v>
      </c>
      <c r="C173" s="33"/>
      <c r="D173" s="31">
        <v>1.9</v>
      </c>
      <c r="E173" s="31">
        <v>1.3</v>
      </c>
      <c r="F173" s="34">
        <f>(D173+E173)/2</f>
        <v>1.6</v>
      </c>
    </row>
    <row r="174" spans="1:6" ht="16" customHeight="1">
      <c r="A174" s="39">
        <v>44</v>
      </c>
      <c r="B174" s="40" t="s">
        <v>92</v>
      </c>
      <c r="C174" s="41" t="s">
        <v>184</v>
      </c>
      <c r="D174" s="39"/>
      <c r="E174" s="39"/>
      <c r="F174" s="42"/>
    </row>
    <row r="175" spans="1:6" ht="16" customHeight="1">
      <c r="A175" s="43"/>
      <c r="B175" s="44" t="s">
        <v>65</v>
      </c>
      <c r="C175" s="33"/>
      <c r="D175" s="43">
        <f t="shared" ref="D175:D176" si="5">900/1000</f>
        <v>0.9</v>
      </c>
      <c r="E175" s="31">
        <v>1.5</v>
      </c>
      <c r="F175" s="34">
        <f>(D175+E175)/2</f>
        <v>1.2</v>
      </c>
    </row>
    <row r="176" spans="1:6" ht="16" customHeight="1">
      <c r="A176" s="45"/>
      <c r="B176" s="46" t="s">
        <v>52</v>
      </c>
      <c r="C176" s="37"/>
      <c r="D176" s="45">
        <f t="shared" si="5"/>
        <v>0.9</v>
      </c>
      <c r="E176" s="35">
        <v>1.5</v>
      </c>
      <c r="F176" s="38">
        <f>(D176+E176)/2</f>
        <v>1.2</v>
      </c>
    </row>
    <row r="177" spans="1:6" ht="16" customHeight="1">
      <c r="A177" s="43"/>
      <c r="B177" s="44" t="s">
        <v>18</v>
      </c>
      <c r="C177" s="33"/>
      <c r="D177" s="31">
        <v>1.9</v>
      </c>
      <c r="E177" s="31">
        <v>1.5</v>
      </c>
      <c r="F177" s="50">
        <v>0</v>
      </c>
    </row>
    <row r="178" spans="1:6" ht="16" customHeight="1">
      <c r="A178" s="39">
        <v>45</v>
      </c>
      <c r="B178" s="40" t="s">
        <v>115</v>
      </c>
      <c r="C178" s="41" t="s">
        <v>185</v>
      </c>
      <c r="D178" s="39"/>
      <c r="E178" s="39"/>
      <c r="F178" s="42"/>
    </row>
    <row r="179" spans="1:6" ht="16" customHeight="1">
      <c r="A179" s="43"/>
      <c r="B179" s="32" t="s">
        <v>109</v>
      </c>
      <c r="C179" s="33"/>
      <c r="D179" s="43">
        <f>600/1000</f>
        <v>0.6</v>
      </c>
      <c r="E179" s="43">
        <f>400/1000</f>
        <v>0.4</v>
      </c>
      <c r="F179" s="34">
        <f>(D179+E179)/2</f>
        <v>0.5</v>
      </c>
    </row>
    <row r="180" spans="1:6" ht="16" customHeight="1">
      <c r="A180" s="45"/>
      <c r="B180" s="36" t="s">
        <v>72</v>
      </c>
      <c r="C180" s="37"/>
      <c r="D180" s="35">
        <v>1</v>
      </c>
      <c r="E180" s="45">
        <f>950/1000</f>
        <v>0.95</v>
      </c>
      <c r="F180" s="38">
        <f>(D180+E180)/2</f>
        <v>0.97499999999999998</v>
      </c>
    </row>
    <row r="181" spans="1:6" ht="16" customHeight="1">
      <c r="A181" s="43"/>
      <c r="B181" s="32" t="s">
        <v>53</v>
      </c>
      <c r="C181" s="33"/>
      <c r="D181" s="31">
        <v>1.3</v>
      </c>
      <c r="E181" s="31">
        <v>1.2</v>
      </c>
      <c r="F181" s="34">
        <f>(D181+E181)/2</f>
        <v>1.25</v>
      </c>
    </row>
    <row r="182" spans="1:6" ht="16" customHeight="1">
      <c r="A182" s="39">
        <v>46</v>
      </c>
      <c r="B182" s="40" t="s">
        <v>117</v>
      </c>
      <c r="C182" s="41" t="s">
        <v>186</v>
      </c>
      <c r="D182" s="39"/>
      <c r="E182" s="39"/>
      <c r="F182" s="42"/>
    </row>
    <row r="183" spans="1:6" ht="16" customHeight="1">
      <c r="A183" s="43"/>
      <c r="B183" s="44" t="s">
        <v>38</v>
      </c>
      <c r="C183" s="33"/>
      <c r="D183" s="31">
        <v>1.3</v>
      </c>
      <c r="E183" s="31">
        <v>1.4</v>
      </c>
      <c r="F183" s="34">
        <f>(D183+E183)/2</f>
        <v>1.35</v>
      </c>
    </row>
    <row r="184" spans="1:6" ht="16" customHeight="1">
      <c r="A184" s="45"/>
      <c r="B184" s="46" t="s">
        <v>63</v>
      </c>
      <c r="C184" s="37"/>
      <c r="D184" s="35">
        <v>1.4</v>
      </c>
      <c r="E184" s="35">
        <v>1.4</v>
      </c>
      <c r="F184" s="38">
        <f>(D184+E184)/2</f>
        <v>1.4</v>
      </c>
    </row>
    <row r="185" spans="1:6" ht="16" customHeight="1">
      <c r="A185" s="43"/>
      <c r="B185" s="44" t="s">
        <v>109</v>
      </c>
      <c r="C185" s="33"/>
      <c r="D185" s="31">
        <v>1.8</v>
      </c>
      <c r="E185" s="31">
        <v>1.1000000000000001</v>
      </c>
      <c r="F185" s="34">
        <f>(D185+E185)/2</f>
        <v>1.4500000000000002</v>
      </c>
    </row>
    <row r="186" spans="1:6" ht="16" customHeight="1">
      <c r="A186" s="39">
        <v>47</v>
      </c>
      <c r="B186" s="40" t="s">
        <v>120</v>
      </c>
      <c r="C186" s="41" t="s">
        <v>187</v>
      </c>
      <c r="D186" s="39"/>
      <c r="E186" s="39"/>
      <c r="F186" s="42"/>
    </row>
    <row r="187" spans="1:6" ht="16" customHeight="1">
      <c r="A187" s="43"/>
      <c r="B187" s="32" t="s">
        <v>119</v>
      </c>
      <c r="C187" s="33"/>
      <c r="D187" s="43">
        <f>450/1000</f>
        <v>0.45</v>
      </c>
      <c r="E187" s="31">
        <v>3.2</v>
      </c>
      <c r="F187" s="34">
        <f>(D187+E187)/2</f>
        <v>1.8250000000000002</v>
      </c>
    </row>
    <row r="188" spans="1:6" ht="16" customHeight="1">
      <c r="A188" s="45"/>
      <c r="B188" s="36" t="s">
        <v>29</v>
      </c>
      <c r="C188" s="37"/>
      <c r="D188" s="35">
        <v>3.2</v>
      </c>
      <c r="E188" s="35">
        <v>1.5</v>
      </c>
      <c r="F188" s="38">
        <f>(D188+E188)/2</f>
        <v>2.35</v>
      </c>
    </row>
    <row r="189" spans="1:6" ht="16" customHeight="1">
      <c r="A189" s="43"/>
      <c r="B189" s="32" t="s">
        <v>133</v>
      </c>
      <c r="C189" s="33"/>
      <c r="D189" s="31">
        <v>4.3</v>
      </c>
      <c r="E189" s="31">
        <v>1.4</v>
      </c>
      <c r="F189" s="34">
        <f>(D189+E189)/2</f>
        <v>2.8499999999999996</v>
      </c>
    </row>
    <row r="190" spans="1:6" ht="16" customHeight="1">
      <c r="A190" s="39">
        <v>48</v>
      </c>
      <c r="B190" s="40" t="s">
        <v>36</v>
      </c>
      <c r="C190" s="41" t="s">
        <v>188</v>
      </c>
      <c r="D190" s="39"/>
      <c r="E190" s="39"/>
      <c r="F190" s="42"/>
    </row>
    <row r="191" spans="1:6" ht="16" customHeight="1">
      <c r="A191" s="43"/>
      <c r="B191" s="44" t="s">
        <v>13</v>
      </c>
      <c r="C191" s="33"/>
      <c r="D191" s="31">
        <v>2.7</v>
      </c>
      <c r="E191" s="31">
        <v>1</v>
      </c>
      <c r="F191" s="34">
        <f>(D191+E191)/2</f>
        <v>1.85</v>
      </c>
    </row>
    <row r="192" spans="1:6" ht="16" customHeight="1">
      <c r="A192" s="45"/>
      <c r="B192" s="46" t="s">
        <v>22</v>
      </c>
      <c r="C192" s="37"/>
      <c r="D192" s="45">
        <f>900/1000</f>
        <v>0.9</v>
      </c>
      <c r="E192" s="35">
        <v>2.8</v>
      </c>
      <c r="F192" s="38">
        <f>(D192+E192)/2</f>
        <v>1.8499999999999999</v>
      </c>
    </row>
    <row r="193" spans="1:8" ht="16" customHeight="1">
      <c r="A193" s="43"/>
      <c r="B193" s="44" t="s">
        <v>124</v>
      </c>
      <c r="C193" s="33"/>
      <c r="D193" s="31">
        <v>2.8</v>
      </c>
      <c r="E193" s="31">
        <v>2.4</v>
      </c>
      <c r="F193" s="34">
        <f>(D193+E193)/2</f>
        <v>2.5999999999999996</v>
      </c>
    </row>
    <row r="194" spans="1:8" ht="16" customHeight="1">
      <c r="A194" s="39">
        <v>49</v>
      </c>
      <c r="B194" s="40" t="s">
        <v>124</v>
      </c>
      <c r="C194" s="41" t="s">
        <v>189</v>
      </c>
      <c r="D194" s="39"/>
      <c r="E194" s="39"/>
      <c r="F194" s="42"/>
    </row>
    <row r="195" spans="1:8" ht="16" customHeight="1">
      <c r="A195" s="43"/>
      <c r="B195" s="32" t="s">
        <v>36</v>
      </c>
      <c r="C195" s="33"/>
      <c r="D195" s="31">
        <v>2.4</v>
      </c>
      <c r="E195" s="31">
        <v>2.8</v>
      </c>
      <c r="F195" s="34">
        <f>(D195+E195)/2</f>
        <v>2.5999999999999996</v>
      </c>
    </row>
    <row r="196" spans="1:8" ht="16" customHeight="1">
      <c r="A196" s="45"/>
      <c r="B196" s="36" t="s">
        <v>57</v>
      </c>
      <c r="C196" s="37"/>
      <c r="D196" s="35">
        <v>1.3</v>
      </c>
      <c r="E196" s="35">
        <v>1.6</v>
      </c>
      <c r="F196" s="38">
        <f>(D196+E196)/2</f>
        <v>1.4500000000000002</v>
      </c>
    </row>
    <row r="197" spans="1:8" ht="16" customHeight="1">
      <c r="A197" s="43"/>
      <c r="B197" s="32" t="s">
        <v>59</v>
      </c>
      <c r="C197" s="33"/>
      <c r="D197" s="31">
        <v>1.2</v>
      </c>
      <c r="E197" s="31">
        <v>1.7</v>
      </c>
      <c r="F197" s="34">
        <f>(D197+E197)/2</f>
        <v>1.45</v>
      </c>
    </row>
    <row r="198" spans="1:8" ht="16" customHeight="1">
      <c r="A198" s="39">
        <v>50</v>
      </c>
      <c r="B198" s="40" t="s">
        <v>126</v>
      </c>
      <c r="C198" s="41" t="s">
        <v>190</v>
      </c>
      <c r="D198" s="39"/>
      <c r="E198" s="39"/>
      <c r="F198" s="42"/>
    </row>
    <row r="199" spans="1:8" ht="16" customHeight="1">
      <c r="A199" s="43"/>
      <c r="B199" s="44" t="s">
        <v>53</v>
      </c>
      <c r="C199" s="33"/>
      <c r="D199" s="31">
        <f>350/1000</f>
        <v>0.35</v>
      </c>
      <c r="E199" s="31">
        <f>700/1000</f>
        <v>0.7</v>
      </c>
      <c r="F199" s="34">
        <f>(D199+E199)/2</f>
        <v>0.52499999999999991</v>
      </c>
    </row>
    <row r="200" spans="1:8" ht="16" customHeight="1">
      <c r="A200" s="45"/>
      <c r="B200" s="46" t="s">
        <v>68</v>
      </c>
      <c r="C200" s="37"/>
      <c r="D200" s="45">
        <f>650/1000</f>
        <v>0.65</v>
      </c>
      <c r="E200" s="45">
        <f>850/1000</f>
        <v>0.85</v>
      </c>
      <c r="F200" s="38">
        <f>(D200+E200)/2</f>
        <v>0.75</v>
      </c>
    </row>
    <row r="201" spans="1:8" ht="16" customHeight="1">
      <c r="A201" s="43"/>
      <c r="B201" s="44" t="s">
        <v>72</v>
      </c>
      <c r="C201" s="33"/>
      <c r="D201" s="43">
        <f>850/1000</f>
        <v>0.85</v>
      </c>
      <c r="E201" s="31">
        <v>1.4</v>
      </c>
      <c r="F201" s="34">
        <f>(D201+E201)/2</f>
        <v>1.125</v>
      </c>
    </row>
    <row r="202" spans="1:8" ht="16" customHeight="1">
      <c r="A202" s="47">
        <v>51</v>
      </c>
      <c r="B202" s="48" t="s">
        <v>128</v>
      </c>
      <c r="C202" s="49" t="s">
        <v>191</v>
      </c>
      <c r="D202" s="83" t="s">
        <v>210</v>
      </c>
      <c r="E202" s="83"/>
      <c r="F202" s="83"/>
      <c r="H202" s="5"/>
    </row>
    <row r="203" spans="1:8" ht="16" customHeight="1">
      <c r="A203" s="43"/>
      <c r="B203" s="32" t="s">
        <v>41</v>
      </c>
      <c r="C203" s="33"/>
      <c r="D203" s="31">
        <v>11.3</v>
      </c>
      <c r="E203" s="31">
        <v>19</v>
      </c>
      <c r="F203" s="34">
        <f>(D203+E203)/2</f>
        <v>15.15</v>
      </c>
    </row>
    <row r="204" spans="1:8" ht="16" customHeight="1">
      <c r="A204" s="45"/>
      <c r="B204" s="36" t="s">
        <v>131</v>
      </c>
      <c r="C204" s="37"/>
      <c r="D204" s="35">
        <v>7.9</v>
      </c>
      <c r="E204" s="35">
        <v>7.4</v>
      </c>
      <c r="F204" s="38">
        <f>(D204+E204)/2</f>
        <v>7.65</v>
      </c>
    </row>
    <row r="205" spans="1:8" ht="16" customHeight="1">
      <c r="A205" s="43"/>
      <c r="B205" s="32" t="s">
        <v>95</v>
      </c>
      <c r="C205" s="33"/>
      <c r="D205" s="31">
        <v>11.7</v>
      </c>
      <c r="E205" s="31">
        <v>9.1999999999999993</v>
      </c>
      <c r="F205" s="34">
        <f>(D205+E205)/2</f>
        <v>10.45</v>
      </c>
    </row>
    <row r="206" spans="1:8" ht="16" customHeight="1">
      <c r="A206" s="39">
        <v>52</v>
      </c>
      <c r="B206" s="40" t="s">
        <v>52</v>
      </c>
      <c r="C206" s="41" t="s">
        <v>192</v>
      </c>
      <c r="D206" s="39"/>
      <c r="E206" s="39"/>
      <c r="F206" s="42"/>
    </row>
    <row r="207" spans="1:8" ht="16" customHeight="1">
      <c r="A207" s="43"/>
      <c r="B207" s="44" t="s">
        <v>18</v>
      </c>
      <c r="C207" s="33"/>
      <c r="D207" s="31">
        <v>1.4</v>
      </c>
      <c r="E207" s="43">
        <f t="shared" ref="E207:E208" si="6">700/1000</f>
        <v>0.7</v>
      </c>
      <c r="F207" s="34">
        <f>(D207+E207)/2</f>
        <v>1.0499999999999998</v>
      </c>
    </row>
    <row r="208" spans="1:8" ht="16" customHeight="1">
      <c r="A208" s="45"/>
      <c r="B208" s="46" t="s">
        <v>65</v>
      </c>
      <c r="C208" s="37"/>
      <c r="D208" s="45">
        <f>650/1000</f>
        <v>0.65</v>
      </c>
      <c r="E208" s="45">
        <f t="shared" si="6"/>
        <v>0.7</v>
      </c>
      <c r="F208" s="38">
        <f>(D208+E208)/2</f>
        <v>0.67500000000000004</v>
      </c>
    </row>
    <row r="209" spans="1:6" ht="16" customHeight="1">
      <c r="A209" s="43"/>
      <c r="B209" s="44" t="s">
        <v>47</v>
      </c>
      <c r="C209" s="33"/>
      <c r="D209" s="31">
        <v>1.6</v>
      </c>
      <c r="E209" s="31">
        <v>1</v>
      </c>
      <c r="F209" s="34">
        <f>(D209+E209)/2</f>
        <v>1.3</v>
      </c>
    </row>
    <row r="210" spans="1:6" ht="16" customHeight="1">
      <c r="A210" s="39">
        <v>53</v>
      </c>
      <c r="B210" s="40" t="s">
        <v>131</v>
      </c>
      <c r="C210" s="41" t="s">
        <v>193</v>
      </c>
      <c r="D210" s="39"/>
      <c r="E210" s="39"/>
      <c r="F210" s="42"/>
    </row>
    <row r="211" spans="1:6" ht="16" customHeight="1">
      <c r="A211" s="43"/>
      <c r="B211" s="32" t="s">
        <v>93</v>
      </c>
      <c r="C211" s="33"/>
      <c r="D211" s="43">
        <f>900/1000</f>
        <v>0.9</v>
      </c>
      <c r="E211" s="31">
        <v>4.2</v>
      </c>
      <c r="F211" s="34">
        <f>(D211+E211)/2</f>
        <v>2.5500000000000003</v>
      </c>
    </row>
    <row r="212" spans="1:6" ht="16" customHeight="1">
      <c r="A212" s="45"/>
      <c r="B212" s="36" t="s">
        <v>95</v>
      </c>
      <c r="C212" s="37"/>
      <c r="D212" s="35">
        <v>4</v>
      </c>
      <c r="E212" s="35">
        <v>2.2000000000000002</v>
      </c>
      <c r="F212" s="38">
        <f>(D212+E212)/2</f>
        <v>3.1</v>
      </c>
    </row>
    <row r="213" spans="1:6" ht="16" customHeight="1">
      <c r="A213" s="43"/>
      <c r="B213" s="32" t="s">
        <v>49</v>
      </c>
      <c r="C213" s="33"/>
      <c r="D213" s="31">
        <v>2.7</v>
      </c>
      <c r="E213" s="31">
        <v>2.2000000000000002</v>
      </c>
      <c r="F213" s="34">
        <f>(D213+E213)/2</f>
        <v>2.4500000000000002</v>
      </c>
    </row>
    <row r="214" spans="1:6" ht="16" customHeight="1">
      <c r="A214" s="39">
        <v>54</v>
      </c>
      <c r="B214" s="40" t="s">
        <v>133</v>
      </c>
      <c r="C214" s="41" t="s">
        <v>194</v>
      </c>
      <c r="D214" s="39"/>
      <c r="E214" s="39"/>
      <c r="F214" s="42"/>
    </row>
    <row r="215" spans="1:6" ht="16" customHeight="1">
      <c r="A215" s="43"/>
      <c r="B215" s="44" t="s">
        <v>90</v>
      </c>
      <c r="C215" s="33"/>
      <c r="D215" s="31">
        <v>1.8</v>
      </c>
      <c r="E215" s="31">
        <v>2.6</v>
      </c>
      <c r="F215" s="34">
        <f>(D215+E215)/2</f>
        <v>2.2000000000000002</v>
      </c>
    </row>
    <row r="216" spans="1:6" ht="16" customHeight="1">
      <c r="A216" s="45"/>
      <c r="B216" s="46" t="s">
        <v>106</v>
      </c>
      <c r="C216" s="37"/>
      <c r="D216" s="35">
        <v>3.2</v>
      </c>
      <c r="E216" s="35">
        <v>1.8</v>
      </c>
      <c r="F216" s="38">
        <f>(D216+E216)/2</f>
        <v>2.5</v>
      </c>
    </row>
    <row r="217" spans="1:6" ht="16" customHeight="1">
      <c r="A217" s="43"/>
      <c r="B217" s="44" t="s">
        <v>88</v>
      </c>
      <c r="C217" s="33"/>
      <c r="D217" s="31">
        <v>1.5</v>
      </c>
      <c r="E217" s="31">
        <v>2.2000000000000002</v>
      </c>
      <c r="F217" s="34">
        <f>(D217+E217)/2</f>
        <v>1.85</v>
      </c>
    </row>
    <row r="218" spans="1:6" ht="16" customHeight="1">
      <c r="A218" s="39">
        <v>55</v>
      </c>
      <c r="B218" s="40" t="s">
        <v>106</v>
      </c>
      <c r="C218" s="41" t="s">
        <v>195</v>
      </c>
      <c r="D218" s="39"/>
      <c r="E218" s="39"/>
      <c r="F218" s="42"/>
    </row>
    <row r="219" spans="1:6" ht="16" customHeight="1">
      <c r="A219" s="43"/>
      <c r="B219" s="32" t="s">
        <v>101</v>
      </c>
      <c r="C219" s="33"/>
      <c r="D219" s="31">
        <v>3.4</v>
      </c>
      <c r="E219" s="43">
        <f>700/1000</f>
        <v>0.7</v>
      </c>
      <c r="F219" s="34">
        <f>(D219+E219)/2</f>
        <v>2.0499999999999998</v>
      </c>
    </row>
    <row r="220" spans="1:6" ht="16" customHeight="1">
      <c r="A220" s="45"/>
      <c r="B220" s="36" t="s">
        <v>90</v>
      </c>
      <c r="C220" s="37"/>
      <c r="D220" s="35">
        <v>2.1</v>
      </c>
      <c r="E220" s="35">
        <v>1.7</v>
      </c>
      <c r="F220" s="38">
        <f>(D220+E220)/2</f>
        <v>1.9</v>
      </c>
    </row>
    <row r="221" spans="1:6" ht="16" customHeight="1">
      <c r="A221" s="43"/>
      <c r="B221" s="32" t="s">
        <v>25</v>
      </c>
      <c r="C221" s="33"/>
      <c r="D221" s="31">
        <v>1.5</v>
      </c>
      <c r="E221" s="31">
        <v>3.4</v>
      </c>
      <c r="F221" s="34">
        <f>(D221+E221)/2</f>
        <v>2.4500000000000002</v>
      </c>
    </row>
    <row r="222" spans="1:6" ht="16" customHeight="1">
      <c r="A222" s="39">
        <v>56</v>
      </c>
      <c r="B222" s="40" t="s">
        <v>137</v>
      </c>
      <c r="C222" s="41" t="s">
        <v>196</v>
      </c>
      <c r="D222" s="39"/>
      <c r="E222" s="39"/>
      <c r="F222" s="42"/>
    </row>
    <row r="223" spans="1:6" ht="16" customHeight="1">
      <c r="A223" s="43"/>
      <c r="B223" s="44" t="s">
        <v>53</v>
      </c>
      <c r="C223" s="33"/>
      <c r="D223" s="43">
        <f>900/1000</f>
        <v>0.9</v>
      </c>
      <c r="E223" s="43">
        <f>850/1000</f>
        <v>0.85</v>
      </c>
      <c r="F223" s="34">
        <f>(D223+E223)/2</f>
        <v>0.875</v>
      </c>
    </row>
    <row r="224" spans="1:6" ht="16" customHeight="1">
      <c r="A224" s="45"/>
      <c r="B224" s="46" t="s">
        <v>126</v>
      </c>
      <c r="C224" s="37"/>
      <c r="D224" s="45">
        <f>850/1000</f>
        <v>0.85</v>
      </c>
      <c r="E224" s="35">
        <v>1.1000000000000001</v>
      </c>
      <c r="F224" s="38">
        <f>(D224+E224)/2</f>
        <v>0.97500000000000009</v>
      </c>
    </row>
    <row r="225" spans="1:8" ht="16" customHeight="1">
      <c r="A225" s="43"/>
      <c r="B225" s="44" t="s">
        <v>72</v>
      </c>
      <c r="C225" s="33"/>
      <c r="D225" s="31">
        <v>1.1000000000000001</v>
      </c>
      <c r="E225" s="31">
        <v>1.6</v>
      </c>
      <c r="F225" s="34">
        <f>(D225+E225)/2</f>
        <v>1.35</v>
      </c>
    </row>
    <row r="226" spans="1:8" ht="16" customHeight="1">
      <c r="A226" s="39">
        <v>57</v>
      </c>
      <c r="B226" s="40" t="s">
        <v>119</v>
      </c>
      <c r="C226" s="41" t="s">
        <v>197</v>
      </c>
      <c r="D226" s="39"/>
      <c r="E226" s="39"/>
      <c r="F226" s="42"/>
    </row>
    <row r="227" spans="1:8" ht="16" customHeight="1">
      <c r="A227" s="43"/>
      <c r="B227" s="32" t="s">
        <v>120</v>
      </c>
      <c r="C227" s="33"/>
      <c r="D227" s="31">
        <v>3.2</v>
      </c>
      <c r="E227" s="43">
        <f>450/1000</f>
        <v>0.45</v>
      </c>
      <c r="F227" s="34">
        <f>(D227+E227)/2</f>
        <v>1.8250000000000002</v>
      </c>
    </row>
    <row r="228" spans="1:8" ht="16" customHeight="1">
      <c r="A228" s="45"/>
      <c r="B228" s="36" t="s">
        <v>29</v>
      </c>
      <c r="C228" s="37"/>
      <c r="D228" s="35">
        <v>2.8</v>
      </c>
      <c r="E228" s="35">
        <v>1.9</v>
      </c>
      <c r="F228" s="38">
        <f>(D228+E228)/2</f>
        <v>2.3499999999999996</v>
      </c>
    </row>
    <row r="229" spans="1:8" ht="16" customHeight="1">
      <c r="A229" s="43"/>
      <c r="B229" s="32" t="s">
        <v>133</v>
      </c>
      <c r="C229" s="33"/>
      <c r="D229" s="31">
        <v>3.9</v>
      </c>
      <c r="E229" s="31">
        <v>1.9</v>
      </c>
      <c r="F229" s="34">
        <f>(D229+E229)/2</f>
        <v>2.9</v>
      </c>
    </row>
    <row r="230" spans="1:8" ht="16" customHeight="1">
      <c r="A230" s="39">
        <v>58</v>
      </c>
      <c r="B230" s="40" t="s">
        <v>140</v>
      </c>
      <c r="C230" s="41" t="s">
        <v>198</v>
      </c>
      <c r="D230" s="39"/>
      <c r="E230" s="39"/>
      <c r="F230" s="42"/>
    </row>
    <row r="231" spans="1:8" ht="16" customHeight="1">
      <c r="A231" s="43"/>
      <c r="B231" s="44" t="s">
        <v>70</v>
      </c>
      <c r="C231" s="33"/>
      <c r="D231" s="43">
        <f t="shared" ref="D231:E231" si="7">450/1000</f>
        <v>0.45</v>
      </c>
      <c r="E231" s="43">
        <f t="shared" si="7"/>
        <v>0.45</v>
      </c>
      <c r="F231" s="34">
        <f>(D231+E231)/2</f>
        <v>0.45</v>
      </c>
    </row>
    <row r="232" spans="1:8" ht="16" customHeight="1">
      <c r="A232" s="45"/>
      <c r="B232" s="46" t="s">
        <v>74</v>
      </c>
      <c r="C232" s="37"/>
      <c r="D232" s="35">
        <v>1.5</v>
      </c>
      <c r="E232" s="35">
        <v>1.2</v>
      </c>
      <c r="F232" s="38">
        <f>(D232+E232)/2</f>
        <v>1.35</v>
      </c>
    </row>
    <row r="233" spans="1:8" ht="16" customHeight="1">
      <c r="A233" s="43"/>
      <c r="B233" s="44" t="s">
        <v>81</v>
      </c>
      <c r="C233" s="33"/>
      <c r="D233" s="31">
        <v>1.7</v>
      </c>
      <c r="E233" s="31">
        <v>2.2999999999999998</v>
      </c>
      <c r="F233" s="34">
        <f>(D233+E233)/2</f>
        <v>2</v>
      </c>
    </row>
    <row r="234" spans="1:8" ht="16" customHeight="1">
      <c r="A234" s="39">
        <v>59</v>
      </c>
      <c r="B234" s="40" t="s">
        <v>142</v>
      </c>
      <c r="C234" s="41" t="s">
        <v>199</v>
      </c>
      <c r="D234" s="39"/>
      <c r="E234" s="39"/>
      <c r="F234" s="42"/>
    </row>
    <row r="235" spans="1:8" ht="16" customHeight="1">
      <c r="A235" s="43"/>
      <c r="B235" s="32" t="s">
        <v>40</v>
      </c>
      <c r="C235" s="33"/>
      <c r="D235" s="31">
        <v>2.1</v>
      </c>
      <c r="E235" s="31">
        <v>1.3</v>
      </c>
      <c r="F235" s="34">
        <f>(D235+E235)/2</f>
        <v>1.7000000000000002</v>
      </c>
    </row>
    <row r="236" spans="1:8" ht="16" customHeight="1">
      <c r="A236" s="45"/>
      <c r="B236" s="36" t="s">
        <v>23</v>
      </c>
      <c r="C236" s="37"/>
      <c r="D236" s="35">
        <v>1.8</v>
      </c>
      <c r="E236" s="35">
        <v>1.5</v>
      </c>
      <c r="F236" s="38">
        <f>(D236+E236)/2</f>
        <v>1.65</v>
      </c>
    </row>
    <row r="237" spans="1:8" ht="16" customHeight="1">
      <c r="A237" s="43"/>
      <c r="B237" s="32" t="s">
        <v>38</v>
      </c>
      <c r="C237" s="33"/>
      <c r="D237" s="31">
        <v>2.2000000000000002</v>
      </c>
      <c r="E237" s="31">
        <v>1.6</v>
      </c>
      <c r="F237" s="34">
        <f>(D237+E237)/2</f>
        <v>1.9000000000000001</v>
      </c>
    </row>
    <row r="238" spans="1:8" ht="16" customHeight="1">
      <c r="A238" s="47">
        <v>60</v>
      </c>
      <c r="B238" s="48" t="s">
        <v>144</v>
      </c>
      <c r="C238" s="49" t="s">
        <v>200</v>
      </c>
      <c r="D238" s="83" t="s">
        <v>210</v>
      </c>
      <c r="E238" s="83"/>
      <c r="F238" s="83"/>
      <c r="H238" s="5"/>
    </row>
    <row r="239" spans="1:8" ht="16" customHeight="1">
      <c r="A239" s="43"/>
      <c r="B239" s="44" t="s">
        <v>57</v>
      </c>
      <c r="C239" s="33"/>
      <c r="D239" s="31">
        <v>6.9</v>
      </c>
      <c r="E239" s="31">
        <v>6.5</v>
      </c>
      <c r="F239" s="34">
        <f>(D239+E239)/2</f>
        <v>6.7</v>
      </c>
    </row>
    <row r="240" spans="1:8" ht="16" customHeight="1">
      <c r="A240" s="45"/>
      <c r="B240" s="46" t="s">
        <v>59</v>
      </c>
      <c r="C240" s="37"/>
      <c r="D240" s="35">
        <v>7.5</v>
      </c>
      <c r="E240" s="35">
        <v>6.6</v>
      </c>
      <c r="F240" s="38">
        <f>(D240+E240)/2</f>
        <v>7.05</v>
      </c>
    </row>
    <row r="241" spans="1:6" ht="16" customHeight="1">
      <c r="A241" s="43"/>
      <c r="B241" s="44" t="s">
        <v>49</v>
      </c>
      <c r="C241" s="33"/>
      <c r="D241" s="31">
        <v>6.5</v>
      </c>
      <c r="E241" s="31">
        <v>8.8000000000000007</v>
      </c>
      <c r="F241" s="34">
        <f>(D241+E241)/2</f>
        <v>7.65</v>
      </c>
    </row>
    <row r="242" spans="1:6" ht="16" customHeight="1">
      <c r="A242" s="39">
        <v>61</v>
      </c>
      <c r="B242" s="40" t="s">
        <v>147</v>
      </c>
      <c r="C242" s="41" t="s">
        <v>201</v>
      </c>
      <c r="D242" s="39"/>
      <c r="E242" s="39"/>
      <c r="F242" s="42"/>
    </row>
    <row r="243" spans="1:6" ht="16" customHeight="1">
      <c r="A243" s="43"/>
      <c r="B243" s="32" t="s">
        <v>44</v>
      </c>
      <c r="C243" s="33"/>
      <c r="D243" s="43">
        <f>700/1000</f>
        <v>0.7</v>
      </c>
      <c r="E243" s="31">
        <v>1</v>
      </c>
      <c r="F243" s="34">
        <f>(D243+E243)/2</f>
        <v>0.85</v>
      </c>
    </row>
    <row r="244" spans="1:6" ht="16" customHeight="1">
      <c r="A244" s="45"/>
      <c r="B244" s="36" t="s">
        <v>111</v>
      </c>
      <c r="C244" s="37"/>
      <c r="D244" s="35">
        <v>1.9</v>
      </c>
      <c r="E244" s="35">
        <v>1.2</v>
      </c>
      <c r="F244" s="38">
        <f>(D244+E244)/2</f>
        <v>1.5499999999999998</v>
      </c>
    </row>
    <row r="245" spans="1:6" ht="16" customHeight="1">
      <c r="A245" s="43"/>
      <c r="B245" s="32" t="s">
        <v>115</v>
      </c>
      <c r="C245" s="33"/>
      <c r="D245" s="31">
        <v>2.2000000000000002</v>
      </c>
      <c r="E245" s="31">
        <v>1.5</v>
      </c>
      <c r="F245" s="34">
        <f>(D245+E245)/2</f>
        <v>1.85</v>
      </c>
    </row>
    <row r="246" spans="1:6" ht="16" customHeight="1">
      <c r="A246" s="39">
        <v>62</v>
      </c>
      <c r="B246" s="40" t="s">
        <v>95</v>
      </c>
      <c r="C246" s="41" t="s">
        <v>202</v>
      </c>
      <c r="D246" s="39"/>
      <c r="E246" s="39"/>
      <c r="F246" s="42"/>
    </row>
    <row r="247" spans="1:6" ht="16" customHeight="1">
      <c r="A247" s="43"/>
      <c r="B247" s="44" t="s">
        <v>92</v>
      </c>
      <c r="C247" s="33"/>
      <c r="D247" s="31">
        <v>2.6</v>
      </c>
      <c r="E247" s="31">
        <v>2</v>
      </c>
      <c r="F247" s="34">
        <f>(D247+E247)/2</f>
        <v>2.2999999999999998</v>
      </c>
    </row>
    <row r="248" spans="1:6" ht="16" customHeight="1">
      <c r="A248" s="45"/>
      <c r="B248" s="46" t="s">
        <v>23</v>
      </c>
      <c r="C248" s="37"/>
      <c r="D248" s="35">
        <v>2.8</v>
      </c>
      <c r="E248" s="35">
        <v>2.4</v>
      </c>
      <c r="F248" s="38">
        <f>(D248+E248)/2</f>
        <v>2.5999999999999996</v>
      </c>
    </row>
    <row r="249" spans="1:6" ht="16" customHeight="1">
      <c r="A249" s="43"/>
      <c r="B249" s="44" t="s">
        <v>65</v>
      </c>
      <c r="C249" s="33"/>
      <c r="D249" s="31">
        <v>1.7</v>
      </c>
      <c r="E249" s="31">
        <v>1.1000000000000001</v>
      </c>
      <c r="F249" s="34">
        <f>(D249+E249)/2</f>
        <v>1.4</v>
      </c>
    </row>
    <row r="250" spans="1:6" ht="16" customHeight="1">
      <c r="A250" s="39">
        <v>63</v>
      </c>
      <c r="B250" s="40" t="s">
        <v>40</v>
      </c>
      <c r="C250" s="41" t="s">
        <v>203</v>
      </c>
      <c r="D250" s="39"/>
      <c r="E250" s="39"/>
      <c r="F250" s="42"/>
    </row>
    <row r="251" spans="1:6" ht="16" customHeight="1">
      <c r="A251" s="43"/>
      <c r="B251" s="44" t="s">
        <v>22</v>
      </c>
      <c r="C251" s="33"/>
      <c r="D251" s="31">
        <v>1.6</v>
      </c>
      <c r="E251" s="31">
        <v>2</v>
      </c>
      <c r="F251" s="34">
        <f>(D251+E251)/2</f>
        <v>1.8</v>
      </c>
    </row>
    <row r="252" spans="1:6" ht="16" customHeight="1">
      <c r="A252" s="45"/>
      <c r="B252" s="46" t="s">
        <v>142</v>
      </c>
      <c r="C252" s="37"/>
      <c r="D252" s="35">
        <v>1.3</v>
      </c>
      <c r="E252" s="35">
        <v>2.1</v>
      </c>
      <c r="F252" s="38">
        <f>(D252+E252)/2</f>
        <v>1.7000000000000002</v>
      </c>
    </row>
    <row r="253" spans="1:6" ht="16" customHeight="1">
      <c r="A253" s="51"/>
      <c r="B253" s="52" t="s">
        <v>13</v>
      </c>
      <c r="C253" s="53"/>
      <c r="D253" s="54">
        <v>1.3</v>
      </c>
      <c r="E253" s="54">
        <v>2.2999999999999998</v>
      </c>
      <c r="F253" s="55">
        <f>(D253+E253)/2</f>
        <v>1.7999999999999998</v>
      </c>
    </row>
    <row r="254" spans="1:6" ht="12.5">
      <c r="A254" s="3"/>
      <c r="D254" s="3"/>
      <c r="E254" s="3"/>
      <c r="F254" s="6"/>
    </row>
    <row r="255" spans="1:6" ht="12.5">
      <c r="A255" s="3"/>
      <c r="D255" s="3"/>
      <c r="E255" s="3"/>
      <c r="F255" s="6"/>
    </row>
    <row r="256" spans="1:6" ht="12.5">
      <c r="A256" s="3"/>
      <c r="D256" s="3"/>
      <c r="E256" s="3"/>
      <c r="F256" s="6"/>
    </row>
    <row r="257" spans="4:6" ht="12.5">
      <c r="D257" s="3"/>
      <c r="E257" s="3"/>
      <c r="F257" s="3"/>
    </row>
    <row r="258" spans="4:6" ht="12.5">
      <c r="D258" s="3"/>
      <c r="E258" s="3"/>
      <c r="F258" s="3"/>
    </row>
    <row r="259" spans="4:6" ht="12.5">
      <c r="D259" s="3"/>
      <c r="E259" s="3"/>
      <c r="F259" s="3"/>
    </row>
    <row r="260" spans="4:6" ht="12.5">
      <c r="D260" s="3"/>
      <c r="E260" s="3"/>
      <c r="F260" s="3"/>
    </row>
    <row r="261" spans="4:6" ht="12.5">
      <c r="D261" s="3"/>
      <c r="E261" s="3"/>
      <c r="F261" s="3"/>
    </row>
    <row r="262" spans="4:6" ht="12.5">
      <c r="D262" s="3"/>
      <c r="E262" s="3"/>
      <c r="F262" s="3"/>
    </row>
    <row r="263" spans="4:6" ht="12.5">
      <c r="D263" s="3"/>
      <c r="E263" s="3"/>
      <c r="F263" s="3"/>
    </row>
    <row r="264" spans="4:6" ht="12.5">
      <c r="D264" s="3"/>
      <c r="E264" s="3"/>
      <c r="F264" s="3"/>
    </row>
    <row r="265" spans="4:6" ht="12.5">
      <c r="D265" s="3"/>
      <c r="E265" s="3"/>
      <c r="F265" s="3"/>
    </row>
    <row r="266" spans="4:6" ht="12.5">
      <c r="D266" s="3"/>
      <c r="E266" s="3"/>
      <c r="F266" s="3"/>
    </row>
    <row r="267" spans="4:6" ht="12.5">
      <c r="D267" s="3"/>
      <c r="E267" s="3"/>
      <c r="F267" s="3"/>
    </row>
    <row r="268" spans="4:6" ht="12.5">
      <c r="D268" s="3"/>
      <c r="E268" s="3"/>
      <c r="F268" s="3"/>
    </row>
    <row r="269" spans="4:6" ht="12.5">
      <c r="D269" s="3"/>
      <c r="E269" s="3"/>
      <c r="F269" s="3"/>
    </row>
    <row r="270" spans="4:6" ht="12.5">
      <c r="D270" s="3"/>
      <c r="E270" s="3"/>
      <c r="F270" s="3"/>
    </row>
    <row r="271" spans="4:6" ht="12.5">
      <c r="D271" s="3"/>
      <c r="E271" s="3"/>
      <c r="F271" s="3"/>
    </row>
    <row r="272" spans="4:6" ht="12.5">
      <c r="D272" s="3"/>
      <c r="E272" s="3"/>
      <c r="F272" s="3"/>
    </row>
    <row r="273" spans="4:6" ht="12.5">
      <c r="D273" s="3"/>
      <c r="E273" s="3"/>
      <c r="F273" s="3"/>
    </row>
    <row r="274" spans="4:6" ht="12.5">
      <c r="D274" s="3"/>
      <c r="E274" s="3"/>
      <c r="F274" s="3"/>
    </row>
    <row r="275" spans="4:6" ht="12.5">
      <c r="D275" s="3"/>
      <c r="E275" s="3"/>
      <c r="F275" s="3"/>
    </row>
    <row r="276" spans="4:6" ht="12.5">
      <c r="D276" s="3"/>
      <c r="E276" s="3"/>
      <c r="F276" s="3"/>
    </row>
    <row r="277" spans="4:6" ht="12.5">
      <c r="D277" s="3"/>
      <c r="E277" s="3"/>
      <c r="F277" s="3"/>
    </row>
    <row r="278" spans="4:6" ht="12.5">
      <c r="D278" s="3"/>
      <c r="E278" s="3"/>
      <c r="F278" s="3"/>
    </row>
    <row r="279" spans="4:6" ht="12.5">
      <c r="D279" s="3"/>
      <c r="E279" s="3"/>
      <c r="F279" s="3"/>
    </row>
    <row r="280" spans="4:6" ht="12.5">
      <c r="D280" s="3"/>
      <c r="E280" s="3"/>
      <c r="F280" s="3"/>
    </row>
    <row r="281" spans="4:6" ht="12.5">
      <c r="D281" s="3"/>
      <c r="E281" s="3"/>
      <c r="F281" s="3"/>
    </row>
    <row r="282" spans="4:6" ht="12.5">
      <c r="D282" s="3"/>
      <c r="E282" s="3"/>
      <c r="F282" s="3"/>
    </row>
    <row r="283" spans="4:6" ht="12.5">
      <c r="D283" s="3"/>
      <c r="E283" s="3"/>
      <c r="F283" s="3"/>
    </row>
    <row r="284" spans="4:6" ht="12.5">
      <c r="D284" s="3"/>
      <c r="E284" s="3"/>
      <c r="F284" s="3"/>
    </row>
    <row r="285" spans="4:6" ht="12.5">
      <c r="D285" s="3"/>
      <c r="E285" s="3"/>
      <c r="F285" s="3"/>
    </row>
    <row r="286" spans="4:6" ht="12.5">
      <c r="D286" s="3"/>
      <c r="E286" s="3"/>
      <c r="F286" s="3"/>
    </row>
    <row r="287" spans="4:6" ht="12.5">
      <c r="D287" s="3"/>
      <c r="E287" s="3"/>
      <c r="F287" s="3"/>
    </row>
    <row r="288" spans="4:6" ht="12.5">
      <c r="D288" s="3"/>
      <c r="E288" s="3"/>
      <c r="F288" s="3"/>
    </row>
    <row r="289" spans="4:6" ht="12.5">
      <c r="D289" s="3"/>
      <c r="E289" s="3"/>
      <c r="F289" s="3"/>
    </row>
    <row r="290" spans="4:6" ht="12.5">
      <c r="D290" s="3"/>
      <c r="E290" s="3"/>
      <c r="F290" s="3"/>
    </row>
    <row r="291" spans="4:6" ht="12.5">
      <c r="D291" s="3"/>
      <c r="E291" s="3"/>
      <c r="F291" s="3"/>
    </row>
    <row r="292" spans="4:6" ht="12.5">
      <c r="D292" s="3"/>
      <c r="E292" s="3"/>
      <c r="F292" s="3"/>
    </row>
    <row r="293" spans="4:6" ht="12.5">
      <c r="D293" s="3"/>
      <c r="E293" s="3"/>
      <c r="F293" s="3"/>
    </row>
    <row r="294" spans="4:6" ht="12.5">
      <c r="D294" s="3"/>
      <c r="E294" s="3"/>
      <c r="F294" s="3"/>
    </row>
    <row r="295" spans="4:6" ht="12.5">
      <c r="D295" s="3"/>
      <c r="E295" s="3"/>
      <c r="F295" s="3"/>
    </row>
    <row r="296" spans="4:6" ht="12.5">
      <c r="D296" s="3"/>
      <c r="E296" s="3"/>
      <c r="F296" s="3"/>
    </row>
    <row r="297" spans="4:6" ht="12.5">
      <c r="D297" s="3"/>
      <c r="E297" s="3"/>
      <c r="F297" s="3"/>
    </row>
    <row r="298" spans="4:6" ht="12.5">
      <c r="D298" s="3"/>
      <c r="E298" s="3"/>
      <c r="F298" s="3"/>
    </row>
    <row r="299" spans="4:6" ht="12.5">
      <c r="D299" s="3"/>
      <c r="E299" s="3"/>
      <c r="F299" s="3"/>
    </row>
    <row r="300" spans="4:6" ht="12.5">
      <c r="D300" s="3"/>
      <c r="E300" s="3"/>
      <c r="F300" s="3"/>
    </row>
    <row r="301" spans="4:6" ht="12.5">
      <c r="D301" s="3"/>
      <c r="E301" s="3"/>
      <c r="F301" s="3"/>
    </row>
    <row r="302" spans="4:6" ht="12.5">
      <c r="D302" s="3"/>
      <c r="E302" s="3"/>
      <c r="F302" s="3"/>
    </row>
    <row r="303" spans="4:6" ht="12.5">
      <c r="D303" s="3"/>
      <c r="E303" s="3"/>
      <c r="F303" s="3"/>
    </row>
    <row r="304" spans="4:6" ht="12.5">
      <c r="D304" s="3"/>
      <c r="E304" s="3"/>
      <c r="F304" s="3"/>
    </row>
    <row r="305" spans="4:6" ht="12.5">
      <c r="D305" s="3"/>
      <c r="E305" s="3"/>
      <c r="F305" s="3"/>
    </row>
    <row r="306" spans="4:6" ht="12.5">
      <c r="D306" s="3"/>
      <c r="E306" s="3"/>
      <c r="F306" s="3"/>
    </row>
    <row r="307" spans="4:6" ht="12.5">
      <c r="D307" s="3"/>
      <c r="E307" s="3"/>
      <c r="F307" s="3"/>
    </row>
    <row r="308" spans="4:6" ht="12.5">
      <c r="D308" s="3"/>
      <c r="E308" s="3"/>
      <c r="F308" s="3"/>
    </row>
    <row r="309" spans="4:6" ht="12.5">
      <c r="D309" s="3"/>
      <c r="E309" s="3"/>
      <c r="F309" s="3"/>
    </row>
    <row r="310" spans="4:6" ht="12.5">
      <c r="D310" s="3"/>
      <c r="E310" s="3"/>
      <c r="F310" s="3"/>
    </row>
    <row r="311" spans="4:6" ht="12.5">
      <c r="D311" s="3"/>
      <c r="E311" s="3"/>
      <c r="F311" s="3"/>
    </row>
    <row r="312" spans="4:6" ht="12.5">
      <c r="D312" s="3"/>
      <c r="E312" s="3"/>
      <c r="F312" s="3"/>
    </row>
    <row r="313" spans="4:6" ht="12.5">
      <c r="D313" s="3"/>
      <c r="E313" s="3"/>
      <c r="F313" s="3"/>
    </row>
    <row r="314" spans="4:6" ht="12.5">
      <c r="D314" s="3"/>
      <c r="E314" s="3"/>
      <c r="F314" s="3"/>
    </row>
    <row r="315" spans="4:6" ht="12.5">
      <c r="D315" s="3"/>
      <c r="E315" s="3"/>
      <c r="F315" s="3"/>
    </row>
    <row r="316" spans="4:6" ht="12.5">
      <c r="D316" s="3"/>
      <c r="E316" s="3"/>
      <c r="F316" s="3"/>
    </row>
    <row r="317" spans="4:6" ht="12.5">
      <c r="D317" s="3"/>
      <c r="E317" s="3"/>
      <c r="F317" s="3"/>
    </row>
    <row r="318" spans="4:6" ht="12.5">
      <c r="D318" s="3"/>
      <c r="E318" s="3"/>
      <c r="F318" s="3"/>
    </row>
    <row r="319" spans="4:6" ht="12.5">
      <c r="D319" s="3"/>
      <c r="E319" s="3"/>
      <c r="F319" s="3"/>
    </row>
    <row r="320" spans="4:6" ht="12.5">
      <c r="D320" s="3"/>
      <c r="E320" s="3"/>
      <c r="F320" s="3"/>
    </row>
    <row r="321" spans="4:6" ht="12.5">
      <c r="D321" s="3"/>
      <c r="E321" s="3"/>
      <c r="F321" s="3"/>
    </row>
    <row r="322" spans="4:6" ht="12.5">
      <c r="D322" s="3"/>
      <c r="E322" s="3"/>
      <c r="F322" s="3"/>
    </row>
    <row r="323" spans="4:6" ht="12.5">
      <c r="D323" s="3"/>
      <c r="E323" s="3"/>
      <c r="F323" s="3"/>
    </row>
    <row r="324" spans="4:6" ht="12.5">
      <c r="D324" s="3"/>
      <c r="E324" s="3"/>
      <c r="F324" s="3"/>
    </row>
    <row r="325" spans="4:6" ht="12.5">
      <c r="D325" s="3"/>
      <c r="E325" s="3"/>
      <c r="F325" s="3"/>
    </row>
    <row r="326" spans="4:6" ht="12.5">
      <c r="D326" s="3"/>
      <c r="E326" s="3"/>
      <c r="F326" s="3"/>
    </row>
    <row r="327" spans="4:6" ht="12.5">
      <c r="D327" s="3"/>
      <c r="E327" s="3"/>
      <c r="F327" s="3"/>
    </row>
    <row r="328" spans="4:6" ht="12.5">
      <c r="D328" s="3"/>
      <c r="E328" s="3"/>
      <c r="F328" s="3"/>
    </row>
    <row r="329" spans="4:6" ht="12.5">
      <c r="D329" s="3"/>
      <c r="E329" s="3"/>
      <c r="F329" s="3"/>
    </row>
    <row r="330" spans="4:6" ht="12.5">
      <c r="D330" s="3"/>
      <c r="E330" s="3"/>
      <c r="F330" s="3"/>
    </row>
    <row r="331" spans="4:6" ht="12.5">
      <c r="D331" s="3"/>
      <c r="E331" s="3"/>
      <c r="F331" s="3"/>
    </row>
    <row r="332" spans="4:6" ht="12.5">
      <c r="D332" s="3"/>
      <c r="E332" s="3"/>
      <c r="F332" s="3"/>
    </row>
    <row r="333" spans="4:6" ht="12.5">
      <c r="D333" s="3"/>
      <c r="E333" s="3"/>
      <c r="F333" s="3"/>
    </row>
    <row r="334" spans="4:6" ht="12.5">
      <c r="D334" s="3"/>
      <c r="E334" s="3"/>
      <c r="F334" s="3"/>
    </row>
    <row r="335" spans="4:6" ht="12.5">
      <c r="D335" s="3"/>
      <c r="E335" s="3"/>
      <c r="F335" s="3"/>
    </row>
    <row r="336" spans="4:6" ht="12.5">
      <c r="D336" s="3"/>
      <c r="E336" s="3"/>
      <c r="F336" s="3"/>
    </row>
    <row r="337" spans="4:6" ht="12.5">
      <c r="D337" s="3"/>
      <c r="E337" s="3"/>
      <c r="F337" s="3"/>
    </row>
    <row r="338" spans="4:6" ht="12.5">
      <c r="D338" s="3"/>
      <c r="E338" s="3"/>
      <c r="F338" s="3"/>
    </row>
    <row r="339" spans="4:6" ht="12.5">
      <c r="D339" s="3"/>
      <c r="E339" s="3"/>
      <c r="F339" s="3"/>
    </row>
    <row r="340" spans="4:6" ht="12.5">
      <c r="D340" s="3"/>
      <c r="E340" s="3"/>
      <c r="F340" s="3"/>
    </row>
    <row r="341" spans="4:6" ht="12.5">
      <c r="D341" s="3"/>
      <c r="E341" s="3"/>
      <c r="F341" s="3"/>
    </row>
    <row r="342" spans="4:6" ht="12.5">
      <c r="D342" s="3"/>
      <c r="E342" s="3"/>
      <c r="F342" s="3"/>
    </row>
    <row r="343" spans="4:6" ht="12.5">
      <c r="D343" s="3"/>
      <c r="E343" s="3"/>
      <c r="F343" s="3"/>
    </row>
    <row r="344" spans="4:6" ht="12.5">
      <c r="D344" s="3"/>
      <c r="E344" s="3"/>
      <c r="F344" s="3"/>
    </row>
    <row r="345" spans="4:6" ht="12.5">
      <c r="D345" s="3"/>
      <c r="E345" s="3"/>
      <c r="F345" s="3"/>
    </row>
    <row r="346" spans="4:6" ht="12.5">
      <c r="D346" s="3"/>
      <c r="E346" s="3"/>
      <c r="F346" s="3"/>
    </row>
    <row r="347" spans="4:6" ht="12.5">
      <c r="D347" s="3"/>
      <c r="E347" s="3"/>
      <c r="F347" s="3"/>
    </row>
    <row r="348" spans="4:6" ht="12.5">
      <c r="D348" s="3"/>
      <c r="E348" s="3"/>
      <c r="F348" s="3"/>
    </row>
    <row r="349" spans="4:6" ht="12.5">
      <c r="D349" s="3"/>
      <c r="E349" s="3"/>
      <c r="F349" s="3"/>
    </row>
    <row r="350" spans="4:6" ht="12.5">
      <c r="D350" s="3"/>
      <c r="E350" s="3"/>
      <c r="F350" s="3"/>
    </row>
    <row r="351" spans="4:6" ht="12.5">
      <c r="D351" s="3"/>
      <c r="E351" s="3"/>
      <c r="F351" s="3"/>
    </row>
    <row r="352" spans="4:6" ht="12.5">
      <c r="D352" s="3"/>
      <c r="E352" s="3"/>
      <c r="F352" s="3"/>
    </row>
    <row r="353" spans="4:6" ht="12.5">
      <c r="D353" s="3"/>
      <c r="E353" s="3"/>
      <c r="F353" s="3"/>
    </row>
    <row r="354" spans="4:6" ht="12.5">
      <c r="D354" s="3"/>
      <c r="E354" s="3"/>
      <c r="F354" s="3"/>
    </row>
    <row r="355" spans="4:6" ht="12.5">
      <c r="D355" s="3"/>
      <c r="E355" s="3"/>
      <c r="F355" s="3"/>
    </row>
    <row r="356" spans="4:6" ht="12.5">
      <c r="D356" s="3"/>
      <c r="E356" s="3"/>
      <c r="F356" s="3"/>
    </row>
    <row r="357" spans="4:6" ht="12.5">
      <c r="D357" s="3"/>
      <c r="E357" s="3"/>
      <c r="F357" s="3"/>
    </row>
    <row r="358" spans="4:6" ht="12.5">
      <c r="D358" s="3"/>
      <c r="E358" s="3"/>
      <c r="F358" s="3"/>
    </row>
    <row r="359" spans="4:6" ht="12.5">
      <c r="D359" s="3"/>
      <c r="E359" s="3"/>
      <c r="F359" s="3"/>
    </row>
    <row r="360" spans="4:6" ht="12.5">
      <c r="D360" s="3"/>
      <c r="E360" s="3"/>
      <c r="F360" s="3"/>
    </row>
    <row r="361" spans="4:6" ht="12.5">
      <c r="D361" s="3"/>
      <c r="E361" s="3"/>
      <c r="F361" s="3"/>
    </row>
    <row r="362" spans="4:6" ht="12.5">
      <c r="D362" s="3"/>
      <c r="E362" s="3"/>
      <c r="F362" s="3"/>
    </row>
    <row r="363" spans="4:6" ht="12.5">
      <c r="D363" s="3"/>
      <c r="E363" s="3"/>
      <c r="F363" s="3"/>
    </row>
    <row r="364" spans="4:6" ht="12.5">
      <c r="D364" s="3"/>
      <c r="E364" s="3"/>
      <c r="F364" s="3"/>
    </row>
    <row r="365" spans="4:6" ht="12.5">
      <c r="D365" s="3"/>
      <c r="E365" s="3"/>
      <c r="F365" s="3"/>
    </row>
    <row r="366" spans="4:6" ht="12.5">
      <c r="D366" s="3"/>
      <c r="E366" s="3"/>
      <c r="F366" s="3"/>
    </row>
    <row r="367" spans="4:6" ht="12.5">
      <c r="D367" s="3"/>
      <c r="E367" s="3"/>
      <c r="F367" s="3"/>
    </row>
    <row r="368" spans="4:6" ht="12.5">
      <c r="D368" s="3"/>
      <c r="E368" s="3"/>
      <c r="F368" s="3"/>
    </row>
    <row r="369" spans="4:6" ht="12.5">
      <c r="D369" s="3"/>
      <c r="E369" s="3"/>
      <c r="F369" s="3"/>
    </row>
    <row r="370" spans="4:6" ht="12.5">
      <c r="D370" s="3"/>
      <c r="E370" s="3"/>
      <c r="F370" s="3"/>
    </row>
    <row r="371" spans="4:6" ht="12.5">
      <c r="D371" s="3"/>
      <c r="E371" s="3"/>
      <c r="F371" s="3"/>
    </row>
    <row r="372" spans="4:6" ht="12.5">
      <c r="D372" s="3"/>
      <c r="E372" s="3"/>
      <c r="F372" s="3"/>
    </row>
    <row r="373" spans="4:6" ht="12.5">
      <c r="D373" s="3"/>
      <c r="E373" s="3"/>
      <c r="F373" s="3"/>
    </row>
    <row r="374" spans="4:6" ht="12.5">
      <c r="D374" s="3"/>
      <c r="E374" s="3"/>
      <c r="F374" s="3"/>
    </row>
    <row r="375" spans="4:6" ht="12.5">
      <c r="D375" s="3"/>
      <c r="E375" s="3"/>
      <c r="F375" s="3"/>
    </row>
    <row r="376" spans="4:6" ht="12.5">
      <c r="D376" s="3"/>
      <c r="E376" s="3"/>
      <c r="F376" s="3"/>
    </row>
    <row r="377" spans="4:6" ht="12.5">
      <c r="D377" s="3"/>
      <c r="E377" s="3"/>
      <c r="F377" s="3"/>
    </row>
    <row r="378" spans="4:6" ht="12.5">
      <c r="D378" s="3"/>
      <c r="E378" s="3"/>
      <c r="F378" s="3"/>
    </row>
    <row r="379" spans="4:6" ht="12.5">
      <c r="D379" s="3"/>
      <c r="E379" s="3"/>
      <c r="F379" s="3"/>
    </row>
    <row r="380" spans="4:6" ht="12.5">
      <c r="D380" s="3"/>
      <c r="E380" s="3"/>
      <c r="F380" s="3"/>
    </row>
    <row r="381" spans="4:6" ht="12.5">
      <c r="D381" s="3"/>
      <c r="E381" s="3"/>
      <c r="F381" s="3"/>
    </row>
    <row r="382" spans="4:6" ht="12.5">
      <c r="D382" s="3"/>
      <c r="E382" s="3"/>
      <c r="F382" s="3"/>
    </row>
    <row r="383" spans="4:6" ht="12.5">
      <c r="D383" s="3"/>
      <c r="E383" s="3"/>
      <c r="F383" s="3"/>
    </row>
    <row r="384" spans="4:6" ht="12.5">
      <c r="D384" s="3"/>
      <c r="E384" s="3"/>
      <c r="F384" s="3"/>
    </row>
    <row r="385" spans="4:6" ht="12.5">
      <c r="D385" s="3"/>
      <c r="E385" s="3"/>
      <c r="F385" s="3"/>
    </row>
    <row r="386" spans="4:6" ht="12.5">
      <c r="D386" s="3"/>
      <c r="E386" s="3"/>
      <c r="F386" s="3"/>
    </row>
    <row r="387" spans="4:6" ht="12.5">
      <c r="D387" s="3"/>
      <c r="E387" s="3"/>
      <c r="F387" s="3"/>
    </row>
    <row r="388" spans="4:6" ht="12.5">
      <c r="D388" s="3"/>
      <c r="E388" s="3"/>
      <c r="F388" s="3"/>
    </row>
    <row r="389" spans="4:6" ht="12.5">
      <c r="D389" s="3"/>
      <c r="E389" s="3"/>
      <c r="F389" s="3"/>
    </row>
    <row r="390" spans="4:6" ht="12.5">
      <c r="D390" s="3"/>
      <c r="E390" s="3"/>
      <c r="F390" s="3"/>
    </row>
    <row r="391" spans="4:6" ht="12.5">
      <c r="D391" s="3"/>
      <c r="E391" s="3"/>
      <c r="F391" s="3"/>
    </row>
    <row r="392" spans="4:6" ht="12.5">
      <c r="D392" s="3"/>
      <c r="E392" s="3"/>
      <c r="F392" s="3"/>
    </row>
    <row r="393" spans="4:6" ht="12.5">
      <c r="D393" s="3"/>
      <c r="E393" s="3"/>
      <c r="F393" s="3"/>
    </row>
    <row r="394" spans="4:6" ht="12.5">
      <c r="D394" s="3"/>
      <c r="E394" s="3"/>
      <c r="F394" s="3"/>
    </row>
    <row r="395" spans="4:6" ht="12.5">
      <c r="D395" s="3"/>
      <c r="E395" s="3"/>
      <c r="F395" s="3"/>
    </row>
    <row r="396" spans="4:6" ht="12.5">
      <c r="D396" s="3"/>
      <c r="E396" s="3"/>
      <c r="F396" s="3"/>
    </row>
    <row r="397" spans="4:6" ht="12.5">
      <c r="D397" s="3"/>
      <c r="E397" s="3"/>
      <c r="F397" s="3"/>
    </row>
    <row r="398" spans="4:6" ht="12.5">
      <c r="D398" s="3"/>
      <c r="E398" s="3"/>
      <c r="F398" s="3"/>
    </row>
    <row r="399" spans="4:6" ht="12.5">
      <c r="D399" s="3"/>
      <c r="E399" s="3"/>
      <c r="F399" s="3"/>
    </row>
    <row r="400" spans="4:6" ht="12.5">
      <c r="D400" s="3"/>
      <c r="E400" s="3"/>
      <c r="F400" s="3"/>
    </row>
    <row r="401" spans="4:6" ht="12.5">
      <c r="D401" s="3"/>
      <c r="E401" s="3"/>
      <c r="F401" s="3"/>
    </row>
    <row r="402" spans="4:6" ht="12.5">
      <c r="D402" s="3"/>
      <c r="E402" s="3"/>
      <c r="F402" s="3"/>
    </row>
    <row r="403" spans="4:6" ht="12.5">
      <c r="D403" s="3"/>
      <c r="E403" s="3"/>
      <c r="F403" s="3"/>
    </row>
    <row r="404" spans="4:6" ht="12.5">
      <c r="D404" s="3"/>
      <c r="E404" s="3"/>
      <c r="F404" s="3"/>
    </row>
    <row r="405" spans="4:6" ht="12.5">
      <c r="D405" s="3"/>
      <c r="E405" s="3"/>
      <c r="F405" s="3"/>
    </row>
    <row r="406" spans="4:6" ht="12.5">
      <c r="D406" s="3"/>
      <c r="E406" s="3"/>
      <c r="F406" s="3"/>
    </row>
    <row r="407" spans="4:6" ht="12.5">
      <c r="D407" s="3"/>
      <c r="E407" s="3"/>
      <c r="F407" s="3"/>
    </row>
    <row r="408" spans="4:6" ht="12.5">
      <c r="D408" s="3"/>
      <c r="E408" s="3"/>
      <c r="F408" s="3"/>
    </row>
    <row r="409" spans="4:6" ht="12.5">
      <c r="D409" s="3"/>
      <c r="E409" s="3"/>
      <c r="F409" s="3"/>
    </row>
    <row r="410" spans="4:6" ht="12.5">
      <c r="D410" s="3"/>
      <c r="E410" s="3"/>
      <c r="F410" s="3"/>
    </row>
    <row r="411" spans="4:6" ht="12.5">
      <c r="D411" s="3"/>
      <c r="E411" s="3"/>
      <c r="F411" s="3"/>
    </row>
    <row r="412" spans="4:6" ht="12.5">
      <c r="D412" s="3"/>
      <c r="E412" s="3"/>
      <c r="F412" s="3"/>
    </row>
    <row r="413" spans="4:6" ht="12.5">
      <c r="D413" s="3"/>
      <c r="E413" s="3"/>
      <c r="F413" s="3"/>
    </row>
    <row r="414" spans="4:6" ht="12.5">
      <c r="D414" s="3"/>
      <c r="E414" s="3"/>
      <c r="F414" s="3"/>
    </row>
    <row r="415" spans="4:6" ht="12.5">
      <c r="D415" s="3"/>
      <c r="E415" s="3"/>
      <c r="F415" s="3"/>
    </row>
    <row r="416" spans="4:6" ht="12.5">
      <c r="D416" s="3"/>
      <c r="E416" s="3"/>
      <c r="F416" s="3"/>
    </row>
    <row r="417" spans="4:6" ht="12.5">
      <c r="D417" s="3"/>
      <c r="E417" s="3"/>
      <c r="F417" s="3"/>
    </row>
    <row r="418" spans="4:6" ht="12.5">
      <c r="D418" s="3"/>
      <c r="E418" s="3"/>
      <c r="F418" s="3"/>
    </row>
    <row r="419" spans="4:6" ht="12.5">
      <c r="D419" s="3"/>
      <c r="E419" s="3"/>
      <c r="F419" s="3"/>
    </row>
    <row r="420" spans="4:6" ht="12.5">
      <c r="D420" s="3"/>
      <c r="E420" s="3"/>
      <c r="F420" s="3"/>
    </row>
    <row r="421" spans="4:6" ht="12.5">
      <c r="D421" s="3"/>
      <c r="E421" s="3"/>
      <c r="F421" s="3"/>
    </row>
    <row r="422" spans="4:6" ht="12.5">
      <c r="D422" s="3"/>
      <c r="E422" s="3"/>
      <c r="F422" s="3"/>
    </row>
    <row r="423" spans="4:6" ht="12.5">
      <c r="D423" s="3"/>
      <c r="E423" s="3"/>
      <c r="F423" s="3"/>
    </row>
    <row r="424" spans="4:6" ht="12.5">
      <c r="D424" s="3"/>
      <c r="E424" s="3"/>
      <c r="F424" s="3"/>
    </row>
    <row r="425" spans="4:6" ht="12.5">
      <c r="D425" s="3"/>
      <c r="E425" s="3"/>
      <c r="F425" s="3"/>
    </row>
    <row r="426" spans="4:6" ht="12.5">
      <c r="D426" s="3"/>
      <c r="E426" s="3"/>
      <c r="F426" s="3"/>
    </row>
    <row r="427" spans="4:6" ht="12.5">
      <c r="D427" s="3"/>
      <c r="E427" s="3"/>
      <c r="F427" s="3"/>
    </row>
    <row r="428" spans="4:6" ht="12.5">
      <c r="D428" s="3"/>
      <c r="E428" s="3"/>
      <c r="F428" s="3"/>
    </row>
    <row r="429" spans="4:6" ht="12.5">
      <c r="D429" s="3"/>
      <c r="E429" s="3"/>
      <c r="F429" s="3"/>
    </row>
    <row r="430" spans="4:6" ht="12.5">
      <c r="D430" s="3"/>
      <c r="E430" s="3"/>
      <c r="F430" s="3"/>
    </row>
    <row r="431" spans="4:6" ht="12.5">
      <c r="D431" s="3"/>
      <c r="E431" s="3"/>
      <c r="F431" s="3"/>
    </row>
    <row r="432" spans="4:6" ht="12.5">
      <c r="D432" s="3"/>
      <c r="E432" s="3"/>
      <c r="F432" s="3"/>
    </row>
    <row r="433" spans="4:6" ht="12.5">
      <c r="D433" s="3"/>
      <c r="E433" s="3"/>
      <c r="F433" s="3"/>
    </row>
    <row r="434" spans="4:6" ht="12.5">
      <c r="D434" s="3"/>
      <c r="E434" s="3"/>
      <c r="F434" s="3"/>
    </row>
    <row r="435" spans="4:6" ht="12.5">
      <c r="D435" s="3"/>
      <c r="E435" s="3"/>
      <c r="F435" s="3"/>
    </row>
    <row r="436" spans="4:6" ht="12.5">
      <c r="D436" s="3"/>
      <c r="E436" s="3"/>
      <c r="F436" s="3"/>
    </row>
    <row r="437" spans="4:6" ht="12.5">
      <c r="D437" s="3"/>
      <c r="E437" s="3"/>
      <c r="F437" s="3"/>
    </row>
    <row r="438" spans="4:6" ht="12.5">
      <c r="D438" s="3"/>
      <c r="E438" s="3"/>
      <c r="F438" s="3"/>
    </row>
    <row r="439" spans="4:6" ht="12.5">
      <c r="D439" s="3"/>
      <c r="E439" s="3"/>
      <c r="F439" s="3"/>
    </row>
    <row r="440" spans="4:6" ht="12.5">
      <c r="D440" s="3"/>
      <c r="E440" s="3"/>
      <c r="F440" s="3"/>
    </row>
    <row r="441" spans="4:6" ht="12.5">
      <c r="D441" s="3"/>
      <c r="E441" s="3"/>
      <c r="F441" s="3"/>
    </row>
    <row r="442" spans="4:6" ht="12.5">
      <c r="D442" s="3"/>
      <c r="E442" s="3"/>
      <c r="F442" s="3"/>
    </row>
    <row r="443" spans="4:6" ht="12.5">
      <c r="D443" s="3"/>
      <c r="E443" s="3"/>
      <c r="F443" s="3"/>
    </row>
    <row r="444" spans="4:6" ht="12.5">
      <c r="D444" s="3"/>
      <c r="E444" s="3"/>
      <c r="F444" s="3"/>
    </row>
    <row r="445" spans="4:6" ht="12.5">
      <c r="D445" s="3"/>
      <c r="E445" s="3"/>
      <c r="F445" s="3"/>
    </row>
    <row r="446" spans="4:6" ht="12.5">
      <c r="D446" s="3"/>
      <c r="E446" s="3"/>
      <c r="F446" s="3"/>
    </row>
    <row r="447" spans="4:6" ht="12.5">
      <c r="D447" s="3"/>
      <c r="E447" s="3"/>
      <c r="F447" s="3"/>
    </row>
    <row r="448" spans="4:6" ht="12.5">
      <c r="D448" s="3"/>
      <c r="E448" s="3"/>
      <c r="F448" s="3"/>
    </row>
    <row r="449" spans="4:6" ht="12.5">
      <c r="D449" s="3"/>
      <c r="E449" s="3"/>
      <c r="F449" s="3"/>
    </row>
    <row r="450" spans="4:6" ht="12.5">
      <c r="D450" s="3"/>
      <c r="E450" s="3"/>
      <c r="F450" s="3"/>
    </row>
    <row r="451" spans="4:6" ht="12.5">
      <c r="D451" s="3"/>
      <c r="E451" s="3"/>
      <c r="F451" s="3"/>
    </row>
    <row r="452" spans="4:6" ht="12.5">
      <c r="D452" s="3"/>
      <c r="E452" s="3"/>
      <c r="F452" s="3"/>
    </row>
    <row r="453" spans="4:6" ht="12.5">
      <c r="D453" s="3"/>
      <c r="E453" s="3"/>
      <c r="F453" s="3"/>
    </row>
    <row r="454" spans="4:6" ht="12.5">
      <c r="D454" s="3"/>
      <c r="E454" s="3"/>
      <c r="F454" s="3"/>
    </row>
    <row r="455" spans="4:6" ht="12.5">
      <c r="D455" s="3"/>
      <c r="E455" s="3"/>
      <c r="F455" s="3"/>
    </row>
    <row r="456" spans="4:6" ht="12.5">
      <c r="D456" s="3"/>
      <c r="E456" s="3"/>
      <c r="F456" s="3"/>
    </row>
    <row r="457" spans="4:6" ht="12.5">
      <c r="D457" s="3"/>
      <c r="E457" s="3"/>
      <c r="F457" s="3"/>
    </row>
    <row r="458" spans="4:6" ht="12.5">
      <c r="D458" s="3"/>
      <c r="E458" s="3"/>
      <c r="F458" s="3"/>
    </row>
    <row r="459" spans="4:6" ht="12.5">
      <c r="D459" s="3"/>
      <c r="E459" s="3"/>
      <c r="F459" s="3"/>
    </row>
    <row r="460" spans="4:6" ht="12.5">
      <c r="D460" s="3"/>
      <c r="E460" s="3"/>
      <c r="F460" s="3"/>
    </row>
    <row r="461" spans="4:6" ht="12.5">
      <c r="D461" s="3"/>
      <c r="E461" s="3"/>
      <c r="F461" s="3"/>
    </row>
    <row r="462" spans="4:6" ht="12.5">
      <c r="D462" s="3"/>
      <c r="E462" s="3"/>
      <c r="F462" s="3"/>
    </row>
    <row r="463" spans="4:6" ht="12.5">
      <c r="D463" s="3"/>
      <c r="E463" s="3"/>
      <c r="F463" s="3"/>
    </row>
    <row r="464" spans="4:6" ht="12.5">
      <c r="D464" s="3"/>
      <c r="E464" s="3"/>
      <c r="F464" s="3"/>
    </row>
    <row r="465" spans="4:6" ht="12.5">
      <c r="D465" s="3"/>
      <c r="E465" s="3"/>
      <c r="F465" s="3"/>
    </row>
    <row r="466" spans="4:6" ht="12.5">
      <c r="D466" s="3"/>
      <c r="E466" s="3"/>
      <c r="F466" s="3"/>
    </row>
    <row r="467" spans="4:6" ht="12.5">
      <c r="D467" s="3"/>
      <c r="E467" s="3"/>
      <c r="F467" s="3"/>
    </row>
    <row r="468" spans="4:6" ht="12.5">
      <c r="D468" s="3"/>
      <c r="E468" s="3"/>
      <c r="F468" s="3"/>
    </row>
    <row r="469" spans="4:6" ht="12.5">
      <c r="D469" s="3"/>
      <c r="E469" s="3"/>
      <c r="F469" s="3"/>
    </row>
    <row r="470" spans="4:6" ht="12.5">
      <c r="D470" s="3"/>
      <c r="E470" s="3"/>
      <c r="F470" s="3"/>
    </row>
    <row r="471" spans="4:6" ht="12.5">
      <c r="D471" s="3"/>
      <c r="E471" s="3"/>
      <c r="F471" s="3"/>
    </row>
    <row r="472" spans="4:6" ht="12.5">
      <c r="D472" s="3"/>
      <c r="E472" s="3"/>
      <c r="F472" s="3"/>
    </row>
    <row r="473" spans="4:6" ht="12.5">
      <c r="D473" s="3"/>
      <c r="E473" s="3"/>
      <c r="F473" s="3"/>
    </row>
    <row r="474" spans="4:6" ht="12.5">
      <c r="D474" s="3"/>
      <c r="E474" s="3"/>
      <c r="F474" s="3"/>
    </row>
    <row r="475" spans="4:6" ht="12.5">
      <c r="D475" s="3"/>
      <c r="E475" s="3"/>
      <c r="F475" s="3"/>
    </row>
    <row r="476" spans="4:6" ht="12.5">
      <c r="D476" s="3"/>
      <c r="E476" s="3"/>
      <c r="F476" s="3"/>
    </row>
    <row r="477" spans="4:6" ht="12.5">
      <c r="D477" s="3"/>
      <c r="E477" s="3"/>
      <c r="F477" s="3"/>
    </row>
    <row r="478" spans="4:6" ht="12.5">
      <c r="D478" s="3"/>
      <c r="E478" s="3"/>
      <c r="F478" s="3"/>
    </row>
    <row r="479" spans="4:6" ht="12.5">
      <c r="D479" s="3"/>
      <c r="E479" s="3"/>
      <c r="F479" s="3"/>
    </row>
    <row r="480" spans="4:6" ht="12.5">
      <c r="D480" s="3"/>
      <c r="E480" s="3"/>
      <c r="F480" s="3"/>
    </row>
    <row r="481" spans="4:6" ht="12.5">
      <c r="D481" s="3"/>
      <c r="E481" s="3"/>
      <c r="F481" s="3"/>
    </row>
    <row r="482" spans="4:6" ht="12.5">
      <c r="D482" s="3"/>
      <c r="E482" s="3"/>
      <c r="F482" s="3"/>
    </row>
    <row r="483" spans="4:6" ht="12.5">
      <c r="D483" s="3"/>
      <c r="E483" s="3"/>
      <c r="F483" s="3"/>
    </row>
    <row r="484" spans="4:6" ht="12.5">
      <c r="D484" s="3"/>
      <c r="E484" s="3"/>
      <c r="F484" s="3"/>
    </row>
    <row r="485" spans="4:6" ht="12.5">
      <c r="D485" s="3"/>
      <c r="E485" s="3"/>
      <c r="F485" s="3"/>
    </row>
    <row r="486" spans="4:6" ht="12.5">
      <c r="D486" s="3"/>
      <c r="E486" s="3"/>
      <c r="F486" s="3"/>
    </row>
    <row r="487" spans="4:6" ht="12.5">
      <c r="D487" s="3"/>
      <c r="E487" s="3"/>
      <c r="F487" s="3"/>
    </row>
    <row r="488" spans="4:6" ht="12.5">
      <c r="D488" s="3"/>
      <c r="E488" s="3"/>
      <c r="F488" s="3"/>
    </row>
    <row r="489" spans="4:6" ht="12.5">
      <c r="D489" s="3"/>
      <c r="E489" s="3"/>
      <c r="F489" s="3"/>
    </row>
    <row r="490" spans="4:6" ht="12.5">
      <c r="D490" s="3"/>
      <c r="E490" s="3"/>
      <c r="F490" s="3"/>
    </row>
    <row r="491" spans="4:6" ht="12.5">
      <c r="D491" s="3"/>
      <c r="E491" s="3"/>
      <c r="F491" s="3"/>
    </row>
    <row r="492" spans="4:6" ht="12.5">
      <c r="D492" s="3"/>
      <c r="E492" s="3"/>
      <c r="F492" s="3"/>
    </row>
    <row r="493" spans="4:6" ht="12.5">
      <c r="D493" s="3"/>
      <c r="E493" s="3"/>
      <c r="F493" s="3"/>
    </row>
    <row r="494" spans="4:6" ht="12.5">
      <c r="D494" s="3"/>
      <c r="E494" s="3"/>
      <c r="F494" s="3"/>
    </row>
    <row r="495" spans="4:6" ht="12.5">
      <c r="D495" s="3"/>
      <c r="E495" s="3"/>
      <c r="F495" s="3"/>
    </row>
    <row r="496" spans="4:6" ht="12.5">
      <c r="D496" s="3"/>
      <c r="E496" s="3"/>
      <c r="F496" s="3"/>
    </row>
    <row r="497" spans="4:6" ht="12.5">
      <c r="D497" s="3"/>
      <c r="E497" s="3"/>
      <c r="F497" s="3"/>
    </row>
    <row r="498" spans="4:6" ht="12.5">
      <c r="D498" s="3"/>
      <c r="E498" s="3"/>
      <c r="F498" s="3"/>
    </row>
    <row r="499" spans="4:6" ht="12.5">
      <c r="D499" s="3"/>
      <c r="E499" s="3"/>
      <c r="F499" s="3"/>
    </row>
    <row r="500" spans="4:6" ht="12.5">
      <c r="D500" s="3"/>
      <c r="E500" s="3"/>
      <c r="F500" s="3"/>
    </row>
    <row r="501" spans="4:6" ht="12.5">
      <c r="D501" s="3"/>
      <c r="E501" s="3"/>
      <c r="F501" s="3"/>
    </row>
    <row r="502" spans="4:6" ht="12.5">
      <c r="D502" s="3"/>
      <c r="E502" s="3"/>
      <c r="F502" s="3"/>
    </row>
    <row r="503" spans="4:6" ht="12.5">
      <c r="D503" s="3"/>
      <c r="E503" s="3"/>
      <c r="F503" s="3"/>
    </row>
    <row r="504" spans="4:6" ht="12.5">
      <c r="D504" s="3"/>
      <c r="E504" s="3"/>
      <c r="F504" s="3"/>
    </row>
    <row r="505" spans="4:6" ht="12.5">
      <c r="D505" s="3"/>
      <c r="E505" s="3"/>
      <c r="F505" s="3"/>
    </row>
    <row r="506" spans="4:6" ht="12.5">
      <c r="D506" s="3"/>
      <c r="E506" s="3"/>
      <c r="F506" s="3"/>
    </row>
    <row r="507" spans="4:6" ht="12.5">
      <c r="D507" s="3"/>
      <c r="E507" s="3"/>
      <c r="F507" s="3"/>
    </row>
    <row r="508" spans="4:6" ht="12.5">
      <c r="D508" s="3"/>
      <c r="E508" s="3"/>
      <c r="F508" s="3"/>
    </row>
    <row r="509" spans="4:6" ht="12.5">
      <c r="D509" s="3"/>
      <c r="E509" s="3"/>
      <c r="F509" s="3"/>
    </row>
    <row r="510" spans="4:6" ht="12.5">
      <c r="D510" s="3"/>
      <c r="E510" s="3"/>
      <c r="F510" s="3"/>
    </row>
    <row r="511" spans="4:6" ht="12.5">
      <c r="D511" s="3"/>
      <c r="E511" s="3"/>
      <c r="F511" s="3"/>
    </row>
    <row r="512" spans="4:6" ht="12.5">
      <c r="D512" s="3"/>
      <c r="E512" s="3"/>
      <c r="F512" s="3"/>
    </row>
    <row r="513" spans="4:6" ht="12.5">
      <c r="D513" s="3"/>
      <c r="E513" s="3"/>
      <c r="F513" s="3"/>
    </row>
    <row r="514" spans="4:6" ht="12.5">
      <c r="D514" s="3"/>
      <c r="E514" s="3"/>
      <c r="F514" s="3"/>
    </row>
    <row r="515" spans="4:6" ht="12.5">
      <c r="D515" s="3"/>
      <c r="E515" s="3"/>
      <c r="F515" s="3"/>
    </row>
    <row r="516" spans="4:6" ht="12.5">
      <c r="D516" s="3"/>
      <c r="E516" s="3"/>
      <c r="F516" s="3"/>
    </row>
    <row r="517" spans="4:6" ht="12.5">
      <c r="D517" s="3"/>
      <c r="E517" s="3"/>
      <c r="F517" s="3"/>
    </row>
    <row r="518" spans="4:6" ht="12.5">
      <c r="D518" s="3"/>
      <c r="E518" s="3"/>
      <c r="F518" s="3"/>
    </row>
    <row r="519" spans="4:6" ht="12.5">
      <c r="D519" s="3"/>
      <c r="E519" s="3"/>
      <c r="F519" s="3"/>
    </row>
    <row r="520" spans="4:6" ht="12.5">
      <c r="D520" s="3"/>
      <c r="E520" s="3"/>
      <c r="F520" s="3"/>
    </row>
    <row r="521" spans="4:6" ht="12.5">
      <c r="D521" s="3"/>
      <c r="E521" s="3"/>
      <c r="F521" s="3"/>
    </row>
    <row r="522" spans="4:6" ht="12.5">
      <c r="D522" s="3"/>
      <c r="E522" s="3"/>
      <c r="F522" s="3"/>
    </row>
    <row r="523" spans="4:6" ht="12.5">
      <c r="D523" s="3"/>
      <c r="E523" s="3"/>
      <c r="F523" s="3"/>
    </row>
    <row r="524" spans="4:6" ht="12.5">
      <c r="D524" s="3"/>
      <c r="E524" s="3"/>
      <c r="F524" s="3"/>
    </row>
    <row r="525" spans="4:6" ht="12.5">
      <c r="D525" s="3"/>
      <c r="E525" s="3"/>
      <c r="F525" s="3"/>
    </row>
    <row r="526" spans="4:6" ht="12.5">
      <c r="D526" s="3"/>
      <c r="E526" s="3"/>
      <c r="F526" s="3"/>
    </row>
    <row r="527" spans="4:6" ht="12.5">
      <c r="D527" s="3"/>
      <c r="E527" s="3"/>
      <c r="F527" s="3"/>
    </row>
    <row r="528" spans="4:6" ht="12.5">
      <c r="D528" s="3"/>
      <c r="E528" s="3"/>
      <c r="F528" s="3"/>
    </row>
    <row r="529" spans="4:6" ht="12.5">
      <c r="D529" s="3"/>
      <c r="E529" s="3"/>
      <c r="F529" s="3"/>
    </row>
    <row r="530" spans="4:6" ht="12.5">
      <c r="D530" s="3"/>
      <c r="E530" s="3"/>
      <c r="F530" s="3"/>
    </row>
    <row r="531" spans="4:6" ht="12.5">
      <c r="D531" s="3"/>
      <c r="E531" s="3"/>
      <c r="F531" s="3"/>
    </row>
    <row r="532" spans="4:6" ht="12.5">
      <c r="D532" s="3"/>
      <c r="E532" s="3"/>
      <c r="F532" s="3"/>
    </row>
    <row r="533" spans="4:6" ht="12.5">
      <c r="D533" s="3"/>
      <c r="E533" s="3"/>
      <c r="F533" s="3"/>
    </row>
    <row r="534" spans="4:6" ht="12.5">
      <c r="D534" s="3"/>
      <c r="E534" s="3"/>
      <c r="F534" s="3"/>
    </row>
    <row r="535" spans="4:6" ht="12.5">
      <c r="D535" s="3"/>
      <c r="E535" s="3"/>
      <c r="F535" s="3"/>
    </row>
    <row r="536" spans="4:6" ht="12.5">
      <c r="D536" s="3"/>
      <c r="E536" s="3"/>
      <c r="F536" s="3"/>
    </row>
    <row r="537" spans="4:6" ht="12.5">
      <c r="D537" s="3"/>
      <c r="E537" s="3"/>
      <c r="F537" s="3"/>
    </row>
    <row r="538" spans="4:6" ht="12.5">
      <c r="D538" s="3"/>
      <c r="E538" s="3"/>
      <c r="F538" s="3"/>
    </row>
    <row r="539" spans="4:6" ht="12.5">
      <c r="D539" s="3"/>
      <c r="E539" s="3"/>
      <c r="F539" s="3"/>
    </row>
    <row r="540" spans="4:6" ht="12.5">
      <c r="D540" s="3"/>
      <c r="E540" s="3"/>
      <c r="F540" s="3"/>
    </row>
    <row r="541" spans="4:6" ht="12.5">
      <c r="D541" s="3"/>
      <c r="E541" s="3"/>
      <c r="F541" s="3"/>
    </row>
    <row r="542" spans="4:6" ht="12.5">
      <c r="D542" s="3"/>
      <c r="E542" s="3"/>
      <c r="F542" s="3"/>
    </row>
    <row r="543" spans="4:6" ht="12.5">
      <c r="D543" s="3"/>
      <c r="E543" s="3"/>
      <c r="F543" s="3"/>
    </row>
    <row r="544" spans="4:6" ht="12.5">
      <c r="D544" s="3"/>
      <c r="E544" s="3"/>
      <c r="F544" s="3"/>
    </row>
    <row r="545" spans="4:6" ht="12.5">
      <c r="D545" s="3"/>
      <c r="E545" s="3"/>
      <c r="F545" s="3"/>
    </row>
    <row r="546" spans="4:6" ht="12.5">
      <c r="D546" s="3"/>
      <c r="E546" s="3"/>
      <c r="F546" s="3"/>
    </row>
    <row r="547" spans="4:6" ht="12.5">
      <c r="D547" s="3"/>
      <c r="E547" s="3"/>
      <c r="F547" s="3"/>
    </row>
    <row r="548" spans="4:6" ht="12.5">
      <c r="D548" s="3"/>
      <c r="E548" s="3"/>
      <c r="F548" s="3"/>
    </row>
    <row r="549" spans="4:6" ht="12.5">
      <c r="D549" s="3"/>
      <c r="E549" s="3"/>
      <c r="F549" s="3"/>
    </row>
    <row r="550" spans="4:6" ht="12.5">
      <c r="D550" s="3"/>
      <c r="E550" s="3"/>
      <c r="F550" s="3"/>
    </row>
    <row r="551" spans="4:6" ht="12.5">
      <c r="D551" s="3"/>
      <c r="E551" s="3"/>
      <c r="F551" s="3"/>
    </row>
    <row r="552" spans="4:6" ht="12.5">
      <c r="D552" s="3"/>
      <c r="E552" s="3"/>
      <c r="F552" s="3"/>
    </row>
    <row r="553" spans="4:6" ht="12.5">
      <c r="D553" s="3"/>
      <c r="E553" s="3"/>
      <c r="F553" s="3"/>
    </row>
    <row r="554" spans="4:6" ht="12.5">
      <c r="D554" s="3"/>
      <c r="E554" s="3"/>
      <c r="F554" s="3"/>
    </row>
    <row r="555" spans="4:6" ht="12.5">
      <c r="D555" s="3"/>
      <c r="E555" s="3"/>
      <c r="F555" s="3"/>
    </row>
    <row r="556" spans="4:6" ht="12.5">
      <c r="D556" s="3"/>
      <c r="E556" s="3"/>
      <c r="F556" s="3"/>
    </row>
    <row r="557" spans="4:6" ht="12.5">
      <c r="D557" s="3"/>
      <c r="E557" s="3"/>
      <c r="F557" s="3"/>
    </row>
    <row r="558" spans="4:6" ht="12.5">
      <c r="D558" s="3"/>
      <c r="E558" s="3"/>
      <c r="F558" s="3"/>
    </row>
    <row r="559" spans="4:6" ht="12.5">
      <c r="D559" s="3"/>
      <c r="E559" s="3"/>
      <c r="F559" s="3"/>
    </row>
    <row r="560" spans="4:6" ht="12.5">
      <c r="D560" s="3"/>
      <c r="E560" s="3"/>
      <c r="F560" s="3"/>
    </row>
    <row r="561" spans="4:6" ht="12.5">
      <c r="D561" s="3"/>
      <c r="E561" s="3"/>
      <c r="F561" s="3"/>
    </row>
    <row r="562" spans="4:6" ht="12.5">
      <c r="D562" s="3"/>
      <c r="E562" s="3"/>
      <c r="F562" s="3"/>
    </row>
    <row r="563" spans="4:6" ht="12.5">
      <c r="D563" s="3"/>
      <c r="E563" s="3"/>
      <c r="F563" s="3"/>
    </row>
    <row r="564" spans="4:6" ht="12.5">
      <c r="D564" s="3"/>
      <c r="E564" s="3"/>
      <c r="F564" s="3"/>
    </row>
    <row r="565" spans="4:6" ht="12.5">
      <c r="D565" s="3"/>
      <c r="E565" s="3"/>
      <c r="F565" s="3"/>
    </row>
    <row r="566" spans="4:6" ht="12.5">
      <c r="D566" s="3"/>
      <c r="E566" s="3"/>
      <c r="F566" s="3"/>
    </row>
    <row r="567" spans="4:6" ht="12.5">
      <c r="D567" s="3"/>
      <c r="E567" s="3"/>
      <c r="F567" s="3"/>
    </row>
    <row r="568" spans="4:6" ht="12.5">
      <c r="D568" s="3"/>
      <c r="E568" s="3"/>
      <c r="F568" s="3"/>
    </row>
    <row r="569" spans="4:6" ht="12.5">
      <c r="D569" s="3"/>
      <c r="E569" s="3"/>
      <c r="F569" s="3"/>
    </row>
    <row r="570" spans="4:6" ht="12.5">
      <c r="D570" s="3"/>
      <c r="E570" s="3"/>
      <c r="F570" s="3"/>
    </row>
    <row r="571" spans="4:6" ht="12.5">
      <c r="D571" s="3"/>
      <c r="E571" s="3"/>
      <c r="F571" s="3"/>
    </row>
    <row r="572" spans="4:6" ht="12.5">
      <c r="D572" s="3"/>
      <c r="E572" s="3"/>
      <c r="F572" s="3"/>
    </row>
    <row r="573" spans="4:6" ht="12.5">
      <c r="D573" s="3"/>
      <c r="E573" s="3"/>
      <c r="F573" s="3"/>
    </row>
    <row r="574" spans="4:6" ht="12.5">
      <c r="D574" s="3"/>
      <c r="E574" s="3"/>
      <c r="F574" s="3"/>
    </row>
    <row r="575" spans="4:6" ht="12.5">
      <c r="D575" s="3"/>
      <c r="E575" s="3"/>
      <c r="F575" s="3"/>
    </row>
    <row r="576" spans="4:6" ht="12.5">
      <c r="D576" s="3"/>
      <c r="E576" s="3"/>
      <c r="F576" s="3"/>
    </row>
    <row r="577" spans="4:6" ht="12.5">
      <c r="D577" s="3"/>
      <c r="E577" s="3"/>
      <c r="F577" s="3"/>
    </row>
    <row r="578" spans="4:6" ht="12.5">
      <c r="D578" s="3"/>
      <c r="E578" s="3"/>
      <c r="F578" s="3"/>
    </row>
    <row r="579" spans="4:6" ht="12.5">
      <c r="D579" s="3"/>
      <c r="E579" s="3"/>
      <c r="F579" s="3"/>
    </row>
    <row r="580" spans="4:6" ht="12.5">
      <c r="D580" s="3"/>
      <c r="E580" s="3"/>
      <c r="F580" s="3"/>
    </row>
    <row r="581" spans="4:6" ht="12.5">
      <c r="D581" s="3"/>
      <c r="E581" s="3"/>
      <c r="F581" s="3"/>
    </row>
    <row r="582" spans="4:6" ht="12.5">
      <c r="D582" s="3"/>
      <c r="E582" s="3"/>
      <c r="F582" s="3"/>
    </row>
    <row r="583" spans="4:6" ht="12.5">
      <c r="D583" s="3"/>
      <c r="E583" s="3"/>
      <c r="F583" s="3"/>
    </row>
    <row r="584" spans="4:6" ht="12.5">
      <c r="D584" s="3"/>
      <c r="E584" s="3"/>
      <c r="F584" s="3"/>
    </row>
    <row r="585" spans="4:6" ht="12.5">
      <c r="D585" s="3"/>
      <c r="E585" s="3"/>
      <c r="F585" s="3"/>
    </row>
    <row r="586" spans="4:6" ht="12.5">
      <c r="D586" s="3"/>
      <c r="E586" s="3"/>
      <c r="F586" s="3"/>
    </row>
    <row r="587" spans="4:6" ht="12.5">
      <c r="D587" s="3"/>
      <c r="E587" s="3"/>
      <c r="F587" s="3"/>
    </row>
    <row r="588" spans="4:6" ht="12.5">
      <c r="D588" s="3"/>
      <c r="E588" s="3"/>
      <c r="F588" s="3"/>
    </row>
    <row r="589" spans="4:6" ht="12.5">
      <c r="D589" s="3"/>
      <c r="E589" s="3"/>
      <c r="F589" s="3"/>
    </row>
    <row r="590" spans="4:6" ht="12.5">
      <c r="D590" s="3"/>
      <c r="E590" s="3"/>
      <c r="F590" s="3"/>
    </row>
    <row r="591" spans="4:6" ht="12.5">
      <c r="D591" s="3"/>
      <c r="E591" s="3"/>
      <c r="F591" s="3"/>
    </row>
    <row r="592" spans="4:6" ht="12.5">
      <c r="D592" s="3"/>
      <c r="E592" s="3"/>
      <c r="F592" s="3"/>
    </row>
    <row r="593" spans="4:6" ht="12.5">
      <c r="D593" s="3"/>
      <c r="E593" s="3"/>
      <c r="F593" s="3"/>
    </row>
    <row r="594" spans="4:6" ht="12.5">
      <c r="D594" s="3"/>
      <c r="E594" s="3"/>
      <c r="F594" s="3"/>
    </row>
    <row r="595" spans="4:6" ht="12.5">
      <c r="D595" s="3"/>
      <c r="E595" s="3"/>
      <c r="F595" s="3"/>
    </row>
    <row r="596" spans="4:6" ht="12.5">
      <c r="D596" s="3"/>
      <c r="E596" s="3"/>
      <c r="F596" s="3"/>
    </row>
    <row r="597" spans="4:6" ht="12.5">
      <c r="D597" s="3"/>
      <c r="E597" s="3"/>
      <c r="F597" s="3"/>
    </row>
    <row r="598" spans="4:6" ht="12.5">
      <c r="D598" s="3"/>
      <c r="E598" s="3"/>
      <c r="F598" s="3"/>
    </row>
    <row r="599" spans="4:6" ht="12.5">
      <c r="D599" s="3"/>
      <c r="E599" s="3"/>
      <c r="F599" s="3"/>
    </row>
    <row r="600" spans="4:6" ht="12.5">
      <c r="D600" s="3"/>
      <c r="E600" s="3"/>
      <c r="F600" s="3"/>
    </row>
    <row r="601" spans="4:6" ht="12.5">
      <c r="D601" s="3"/>
      <c r="E601" s="3"/>
      <c r="F601" s="3"/>
    </row>
    <row r="602" spans="4:6" ht="12.5">
      <c r="D602" s="3"/>
      <c r="E602" s="3"/>
      <c r="F602" s="3"/>
    </row>
    <row r="603" spans="4:6" ht="12.5">
      <c r="D603" s="3"/>
      <c r="E603" s="3"/>
      <c r="F603" s="3"/>
    </row>
    <row r="604" spans="4:6" ht="12.5">
      <c r="D604" s="3"/>
      <c r="E604" s="3"/>
      <c r="F604" s="3"/>
    </row>
    <row r="605" spans="4:6" ht="12.5">
      <c r="D605" s="3"/>
      <c r="E605" s="3"/>
      <c r="F605" s="3"/>
    </row>
    <row r="606" spans="4:6" ht="12.5">
      <c r="D606" s="3"/>
      <c r="E606" s="3"/>
      <c r="F606" s="3"/>
    </row>
    <row r="607" spans="4:6" ht="12.5">
      <c r="D607" s="3"/>
      <c r="E607" s="3"/>
      <c r="F607" s="3"/>
    </row>
    <row r="608" spans="4:6" ht="12.5">
      <c r="D608" s="3"/>
      <c r="E608" s="3"/>
      <c r="F608" s="3"/>
    </row>
    <row r="609" spans="4:6" ht="12.5">
      <c r="D609" s="3"/>
      <c r="E609" s="3"/>
      <c r="F609" s="3"/>
    </row>
    <row r="610" spans="4:6" ht="12.5">
      <c r="D610" s="3"/>
      <c r="E610" s="3"/>
      <c r="F610" s="3"/>
    </row>
    <row r="611" spans="4:6" ht="12.5">
      <c r="D611" s="3"/>
      <c r="E611" s="3"/>
      <c r="F611" s="3"/>
    </row>
    <row r="612" spans="4:6" ht="12.5">
      <c r="D612" s="3"/>
      <c r="E612" s="3"/>
      <c r="F612" s="3"/>
    </row>
    <row r="613" spans="4:6" ht="12.5">
      <c r="D613" s="3"/>
      <c r="E613" s="3"/>
      <c r="F613" s="3"/>
    </row>
    <row r="614" spans="4:6" ht="12.5">
      <c r="D614" s="3"/>
      <c r="E614" s="3"/>
      <c r="F614" s="3"/>
    </row>
    <row r="615" spans="4:6" ht="12.5">
      <c r="D615" s="3"/>
      <c r="E615" s="3"/>
      <c r="F615" s="3"/>
    </row>
    <row r="616" spans="4:6" ht="12.5">
      <c r="D616" s="3"/>
      <c r="E616" s="3"/>
      <c r="F616" s="3"/>
    </row>
    <row r="617" spans="4:6" ht="12.5">
      <c r="D617" s="3"/>
      <c r="E617" s="3"/>
      <c r="F617" s="3"/>
    </row>
    <row r="618" spans="4:6" ht="12.5">
      <c r="D618" s="3"/>
      <c r="E618" s="3"/>
      <c r="F618" s="3"/>
    </row>
    <row r="619" spans="4:6" ht="12.5">
      <c r="D619" s="3"/>
      <c r="E619" s="3"/>
      <c r="F619" s="3"/>
    </row>
    <row r="620" spans="4:6" ht="12.5">
      <c r="D620" s="3"/>
      <c r="E620" s="3"/>
      <c r="F620" s="3"/>
    </row>
    <row r="621" spans="4:6" ht="12.5">
      <c r="D621" s="3"/>
      <c r="E621" s="3"/>
      <c r="F621" s="3"/>
    </row>
    <row r="622" spans="4:6" ht="12.5">
      <c r="D622" s="3"/>
      <c r="E622" s="3"/>
      <c r="F622" s="3"/>
    </row>
    <row r="623" spans="4:6" ht="12.5">
      <c r="D623" s="3"/>
      <c r="E623" s="3"/>
      <c r="F623" s="3"/>
    </row>
    <row r="624" spans="4:6" ht="12.5">
      <c r="D624" s="3"/>
      <c r="E624" s="3"/>
      <c r="F624" s="3"/>
    </row>
    <row r="625" spans="4:6" ht="12.5">
      <c r="D625" s="3"/>
      <c r="E625" s="3"/>
      <c r="F625" s="3"/>
    </row>
    <row r="626" spans="4:6" ht="12.5">
      <c r="D626" s="3"/>
      <c r="E626" s="3"/>
      <c r="F626" s="3"/>
    </row>
    <row r="627" spans="4:6" ht="12.5">
      <c r="D627" s="3"/>
      <c r="E627" s="3"/>
      <c r="F627" s="3"/>
    </row>
    <row r="628" spans="4:6" ht="12.5">
      <c r="D628" s="3"/>
      <c r="E628" s="3"/>
      <c r="F628" s="3"/>
    </row>
    <row r="629" spans="4:6" ht="12.5">
      <c r="D629" s="3"/>
      <c r="E629" s="3"/>
      <c r="F629" s="3"/>
    </row>
    <row r="630" spans="4:6" ht="12.5">
      <c r="D630" s="3"/>
      <c r="E630" s="3"/>
      <c r="F630" s="3"/>
    </row>
    <row r="631" spans="4:6" ht="12.5">
      <c r="D631" s="3"/>
      <c r="E631" s="3"/>
      <c r="F631" s="3"/>
    </row>
    <row r="632" spans="4:6" ht="12.5">
      <c r="D632" s="3"/>
      <c r="E632" s="3"/>
      <c r="F632" s="3"/>
    </row>
    <row r="633" spans="4:6" ht="12.5">
      <c r="D633" s="3"/>
      <c r="E633" s="3"/>
      <c r="F633" s="3"/>
    </row>
    <row r="634" spans="4:6" ht="12.5">
      <c r="D634" s="3"/>
      <c r="E634" s="3"/>
      <c r="F634" s="3"/>
    </row>
    <row r="635" spans="4:6" ht="12.5">
      <c r="D635" s="3"/>
      <c r="E635" s="3"/>
      <c r="F635" s="3"/>
    </row>
    <row r="636" spans="4:6" ht="12.5">
      <c r="D636" s="3"/>
      <c r="E636" s="3"/>
      <c r="F636" s="3"/>
    </row>
    <row r="637" spans="4:6" ht="12.5">
      <c r="D637" s="3"/>
      <c r="E637" s="3"/>
      <c r="F637" s="3"/>
    </row>
    <row r="638" spans="4:6" ht="12.5">
      <c r="D638" s="3"/>
      <c r="E638" s="3"/>
      <c r="F638" s="3"/>
    </row>
    <row r="639" spans="4:6" ht="12.5">
      <c r="D639" s="3"/>
      <c r="E639" s="3"/>
      <c r="F639" s="3"/>
    </row>
    <row r="640" spans="4:6" ht="12.5">
      <c r="D640" s="3"/>
      <c r="E640" s="3"/>
      <c r="F640" s="3"/>
    </row>
    <row r="641" spans="4:6" ht="12.5">
      <c r="D641" s="3"/>
      <c r="E641" s="3"/>
      <c r="F641" s="3"/>
    </row>
    <row r="642" spans="4:6" ht="12.5">
      <c r="D642" s="3"/>
      <c r="E642" s="3"/>
      <c r="F642" s="3"/>
    </row>
    <row r="643" spans="4:6" ht="12.5">
      <c r="D643" s="3"/>
      <c r="E643" s="3"/>
      <c r="F643" s="3"/>
    </row>
    <row r="644" spans="4:6" ht="12.5">
      <c r="D644" s="3"/>
      <c r="E644" s="3"/>
      <c r="F644" s="3"/>
    </row>
    <row r="645" spans="4:6" ht="12.5">
      <c r="D645" s="3"/>
      <c r="E645" s="3"/>
      <c r="F645" s="3"/>
    </row>
    <row r="646" spans="4:6" ht="12.5">
      <c r="D646" s="3"/>
      <c r="E646" s="3"/>
      <c r="F646" s="3"/>
    </row>
    <row r="647" spans="4:6" ht="12.5">
      <c r="D647" s="3"/>
      <c r="E647" s="3"/>
      <c r="F647" s="3"/>
    </row>
    <row r="648" spans="4:6" ht="12.5">
      <c r="D648" s="3"/>
      <c r="E648" s="3"/>
      <c r="F648" s="3"/>
    </row>
    <row r="649" spans="4:6" ht="12.5">
      <c r="D649" s="3"/>
      <c r="E649" s="3"/>
      <c r="F649" s="3"/>
    </row>
    <row r="650" spans="4:6" ht="12.5">
      <c r="D650" s="3"/>
      <c r="E650" s="3"/>
      <c r="F650" s="3"/>
    </row>
    <row r="651" spans="4:6" ht="12.5">
      <c r="D651" s="3"/>
      <c r="E651" s="3"/>
      <c r="F651" s="3"/>
    </row>
    <row r="652" spans="4:6" ht="12.5">
      <c r="D652" s="3"/>
      <c r="E652" s="3"/>
      <c r="F652" s="3"/>
    </row>
    <row r="653" spans="4:6" ht="12.5">
      <c r="D653" s="3"/>
      <c r="E653" s="3"/>
      <c r="F653" s="3"/>
    </row>
    <row r="654" spans="4:6" ht="12.5">
      <c r="D654" s="3"/>
      <c r="E654" s="3"/>
      <c r="F654" s="3"/>
    </row>
    <row r="655" spans="4:6" ht="12.5">
      <c r="D655" s="3"/>
      <c r="E655" s="3"/>
      <c r="F655" s="3"/>
    </row>
    <row r="656" spans="4:6" ht="12.5">
      <c r="D656" s="3"/>
      <c r="E656" s="3"/>
      <c r="F656" s="3"/>
    </row>
    <row r="657" spans="4:6" ht="12.5">
      <c r="D657" s="3"/>
      <c r="E657" s="3"/>
      <c r="F657" s="3"/>
    </row>
    <row r="658" spans="4:6" ht="12.5">
      <c r="D658" s="3"/>
      <c r="E658" s="3"/>
      <c r="F658" s="3"/>
    </row>
    <row r="659" spans="4:6" ht="12.5">
      <c r="D659" s="3"/>
      <c r="E659" s="3"/>
      <c r="F659" s="3"/>
    </row>
    <row r="660" spans="4:6" ht="12.5">
      <c r="D660" s="3"/>
      <c r="E660" s="3"/>
      <c r="F660" s="3"/>
    </row>
    <row r="661" spans="4:6" ht="12.5">
      <c r="D661" s="3"/>
      <c r="E661" s="3"/>
      <c r="F661" s="3"/>
    </row>
    <row r="662" spans="4:6" ht="12.5">
      <c r="D662" s="3"/>
      <c r="E662" s="3"/>
      <c r="F662" s="3"/>
    </row>
    <row r="663" spans="4:6" ht="12.5">
      <c r="D663" s="3"/>
      <c r="E663" s="3"/>
      <c r="F663" s="3"/>
    </row>
    <row r="664" spans="4:6" ht="12.5">
      <c r="D664" s="3"/>
      <c r="E664" s="3"/>
      <c r="F664" s="3"/>
    </row>
    <row r="665" spans="4:6" ht="12.5">
      <c r="D665" s="3"/>
      <c r="E665" s="3"/>
      <c r="F665" s="3"/>
    </row>
    <row r="666" spans="4:6" ht="12.5">
      <c r="D666" s="3"/>
      <c r="E666" s="3"/>
      <c r="F666" s="3"/>
    </row>
    <row r="667" spans="4:6" ht="12.5">
      <c r="D667" s="3"/>
      <c r="E667" s="3"/>
      <c r="F667" s="3"/>
    </row>
    <row r="668" spans="4:6" ht="12.5">
      <c r="D668" s="3"/>
      <c r="E668" s="3"/>
      <c r="F668" s="3"/>
    </row>
    <row r="669" spans="4:6" ht="12.5">
      <c r="D669" s="3"/>
      <c r="E669" s="3"/>
      <c r="F669" s="3"/>
    </row>
    <row r="670" spans="4:6" ht="12.5">
      <c r="D670" s="3"/>
      <c r="E670" s="3"/>
      <c r="F670" s="3"/>
    </row>
    <row r="671" spans="4:6" ht="12.5">
      <c r="D671" s="3"/>
      <c r="E671" s="3"/>
      <c r="F671" s="3"/>
    </row>
    <row r="672" spans="4:6" ht="12.5">
      <c r="D672" s="3"/>
      <c r="E672" s="3"/>
      <c r="F672" s="3"/>
    </row>
    <row r="673" spans="4:6" ht="12.5">
      <c r="D673" s="3"/>
      <c r="E673" s="3"/>
      <c r="F673" s="3"/>
    </row>
    <row r="674" spans="4:6" ht="12.5">
      <c r="D674" s="3"/>
      <c r="E674" s="3"/>
      <c r="F674" s="3"/>
    </row>
    <row r="675" spans="4:6" ht="12.5">
      <c r="D675" s="3"/>
      <c r="E675" s="3"/>
      <c r="F675" s="3"/>
    </row>
    <row r="676" spans="4:6" ht="12.5">
      <c r="D676" s="3"/>
      <c r="E676" s="3"/>
      <c r="F676" s="3"/>
    </row>
    <row r="677" spans="4:6" ht="12.5">
      <c r="D677" s="3"/>
      <c r="E677" s="3"/>
      <c r="F677" s="3"/>
    </row>
    <row r="678" spans="4:6" ht="12.5">
      <c r="D678" s="3"/>
      <c r="E678" s="3"/>
      <c r="F678" s="3"/>
    </row>
    <row r="679" spans="4:6" ht="12.5">
      <c r="D679" s="3"/>
      <c r="E679" s="3"/>
      <c r="F679" s="3"/>
    </row>
    <row r="680" spans="4:6" ht="12.5">
      <c r="D680" s="3"/>
      <c r="E680" s="3"/>
      <c r="F680" s="3"/>
    </row>
    <row r="681" spans="4:6" ht="12.5">
      <c r="D681" s="3"/>
      <c r="E681" s="3"/>
      <c r="F681" s="3"/>
    </row>
    <row r="682" spans="4:6" ht="12.5">
      <c r="D682" s="3"/>
      <c r="E682" s="3"/>
      <c r="F682" s="3"/>
    </row>
    <row r="683" spans="4:6" ht="12.5">
      <c r="D683" s="3"/>
      <c r="E683" s="3"/>
      <c r="F683" s="3"/>
    </row>
    <row r="684" spans="4:6" ht="12.5">
      <c r="D684" s="3"/>
      <c r="E684" s="3"/>
      <c r="F684" s="3"/>
    </row>
    <row r="685" spans="4:6" ht="12.5">
      <c r="D685" s="3"/>
      <c r="E685" s="3"/>
      <c r="F685" s="3"/>
    </row>
    <row r="686" spans="4:6" ht="12.5">
      <c r="D686" s="3"/>
      <c r="E686" s="3"/>
      <c r="F686" s="3"/>
    </row>
    <row r="687" spans="4:6" ht="12.5">
      <c r="D687" s="3"/>
      <c r="E687" s="3"/>
      <c r="F687" s="3"/>
    </row>
    <row r="688" spans="4:6" ht="12.5">
      <c r="D688" s="3"/>
      <c r="E688" s="3"/>
      <c r="F688" s="3"/>
    </row>
    <row r="689" spans="4:6" ht="12.5">
      <c r="D689" s="3"/>
      <c r="E689" s="3"/>
      <c r="F689" s="3"/>
    </row>
    <row r="690" spans="4:6" ht="12.5">
      <c r="D690" s="3"/>
      <c r="E690" s="3"/>
      <c r="F690" s="3"/>
    </row>
    <row r="691" spans="4:6" ht="12.5">
      <c r="D691" s="3"/>
      <c r="E691" s="3"/>
      <c r="F691" s="3"/>
    </row>
    <row r="692" spans="4:6" ht="12.5">
      <c r="D692" s="3"/>
      <c r="E692" s="3"/>
      <c r="F692" s="3"/>
    </row>
    <row r="693" spans="4:6" ht="12.5">
      <c r="D693" s="3"/>
      <c r="E693" s="3"/>
      <c r="F693" s="3"/>
    </row>
    <row r="694" spans="4:6" ht="12.5">
      <c r="D694" s="3"/>
      <c r="E694" s="3"/>
      <c r="F694" s="3"/>
    </row>
    <row r="695" spans="4:6" ht="12.5">
      <c r="D695" s="3"/>
      <c r="E695" s="3"/>
      <c r="F695" s="3"/>
    </row>
    <row r="696" spans="4:6" ht="12.5">
      <c r="D696" s="3"/>
      <c r="E696" s="3"/>
      <c r="F696" s="3"/>
    </row>
    <row r="697" spans="4:6" ht="12.5">
      <c r="D697" s="3"/>
      <c r="E697" s="3"/>
      <c r="F697" s="3"/>
    </row>
    <row r="698" spans="4:6" ht="12.5">
      <c r="D698" s="3"/>
      <c r="E698" s="3"/>
      <c r="F698" s="3"/>
    </row>
    <row r="699" spans="4:6" ht="12.5">
      <c r="D699" s="3"/>
      <c r="E699" s="3"/>
      <c r="F699" s="3"/>
    </row>
    <row r="700" spans="4:6" ht="12.5">
      <c r="D700" s="3"/>
      <c r="E700" s="3"/>
      <c r="F700" s="3"/>
    </row>
    <row r="701" spans="4:6" ht="12.5">
      <c r="D701" s="3"/>
      <c r="E701" s="3"/>
      <c r="F701" s="3"/>
    </row>
    <row r="702" spans="4:6" ht="12.5">
      <c r="D702" s="3"/>
      <c r="E702" s="3"/>
      <c r="F702" s="3"/>
    </row>
    <row r="703" spans="4:6" ht="12.5">
      <c r="D703" s="3"/>
      <c r="E703" s="3"/>
      <c r="F703" s="3"/>
    </row>
    <row r="704" spans="4:6" ht="12.5">
      <c r="D704" s="3"/>
      <c r="E704" s="3"/>
      <c r="F704" s="3"/>
    </row>
    <row r="705" spans="4:6" ht="12.5">
      <c r="D705" s="3"/>
      <c r="E705" s="3"/>
      <c r="F705" s="3"/>
    </row>
    <row r="706" spans="4:6" ht="12.5">
      <c r="D706" s="3"/>
      <c r="E706" s="3"/>
      <c r="F706" s="3"/>
    </row>
    <row r="707" spans="4:6" ht="12.5">
      <c r="D707" s="3"/>
      <c r="E707" s="3"/>
      <c r="F707" s="3"/>
    </row>
    <row r="708" spans="4:6" ht="12.5">
      <c r="D708" s="3"/>
      <c r="E708" s="3"/>
      <c r="F708" s="3"/>
    </row>
    <row r="709" spans="4:6" ht="12.5">
      <c r="D709" s="3"/>
      <c r="E709" s="3"/>
      <c r="F709" s="3"/>
    </row>
    <row r="710" spans="4:6" ht="12.5">
      <c r="D710" s="3"/>
      <c r="E710" s="3"/>
      <c r="F710" s="3"/>
    </row>
    <row r="711" spans="4:6" ht="12.5">
      <c r="D711" s="3"/>
      <c r="E711" s="3"/>
      <c r="F711" s="3"/>
    </row>
    <row r="712" spans="4:6" ht="12.5">
      <c r="D712" s="3"/>
      <c r="E712" s="3"/>
      <c r="F712" s="3"/>
    </row>
    <row r="713" spans="4:6" ht="12.5">
      <c r="D713" s="3"/>
      <c r="E713" s="3"/>
      <c r="F713" s="3"/>
    </row>
    <row r="714" spans="4:6" ht="12.5">
      <c r="D714" s="3"/>
      <c r="E714" s="3"/>
      <c r="F714" s="3"/>
    </row>
    <row r="715" spans="4:6" ht="12.5">
      <c r="D715" s="3"/>
      <c r="E715" s="3"/>
      <c r="F715" s="3"/>
    </row>
    <row r="716" spans="4:6" ht="12.5">
      <c r="D716" s="3"/>
      <c r="E716" s="3"/>
      <c r="F716" s="3"/>
    </row>
    <row r="717" spans="4:6" ht="12.5">
      <c r="D717" s="3"/>
      <c r="E717" s="3"/>
      <c r="F717" s="3"/>
    </row>
    <row r="718" spans="4:6" ht="12.5">
      <c r="D718" s="3"/>
      <c r="E718" s="3"/>
      <c r="F718" s="3"/>
    </row>
    <row r="719" spans="4:6" ht="12.5">
      <c r="D719" s="3"/>
      <c r="E719" s="3"/>
      <c r="F719" s="3"/>
    </row>
    <row r="720" spans="4:6" ht="12.5">
      <c r="D720" s="3"/>
      <c r="E720" s="3"/>
      <c r="F720" s="3"/>
    </row>
    <row r="721" spans="4:6" ht="12.5">
      <c r="D721" s="3"/>
      <c r="E721" s="3"/>
      <c r="F721" s="3"/>
    </row>
    <row r="722" spans="4:6" ht="12.5">
      <c r="D722" s="3"/>
      <c r="E722" s="3"/>
      <c r="F722" s="3"/>
    </row>
    <row r="723" spans="4:6" ht="12.5">
      <c r="D723" s="3"/>
      <c r="E723" s="3"/>
      <c r="F723" s="3"/>
    </row>
    <row r="724" spans="4:6" ht="12.5">
      <c r="D724" s="3"/>
      <c r="E724" s="3"/>
      <c r="F724" s="3"/>
    </row>
    <row r="725" spans="4:6" ht="12.5">
      <c r="D725" s="3"/>
      <c r="E725" s="3"/>
      <c r="F725" s="3"/>
    </row>
    <row r="726" spans="4:6" ht="12.5">
      <c r="D726" s="3"/>
      <c r="E726" s="3"/>
      <c r="F726" s="3"/>
    </row>
    <row r="727" spans="4:6" ht="12.5">
      <c r="D727" s="3"/>
      <c r="E727" s="3"/>
      <c r="F727" s="3"/>
    </row>
    <row r="728" spans="4:6" ht="12.5">
      <c r="D728" s="3"/>
      <c r="E728" s="3"/>
      <c r="F728" s="3"/>
    </row>
    <row r="729" spans="4:6" ht="12.5">
      <c r="D729" s="3"/>
      <c r="E729" s="3"/>
      <c r="F729" s="3"/>
    </row>
    <row r="730" spans="4:6" ht="12.5">
      <c r="D730" s="3"/>
      <c r="E730" s="3"/>
      <c r="F730" s="3"/>
    </row>
    <row r="731" spans="4:6" ht="12.5">
      <c r="D731" s="3"/>
      <c r="E731" s="3"/>
      <c r="F731" s="3"/>
    </row>
    <row r="732" spans="4:6" ht="12.5">
      <c r="D732" s="3"/>
      <c r="E732" s="3"/>
      <c r="F732" s="3"/>
    </row>
    <row r="733" spans="4:6" ht="12.5">
      <c r="D733" s="3"/>
      <c r="E733" s="3"/>
      <c r="F733" s="3"/>
    </row>
    <row r="734" spans="4:6" ht="12.5">
      <c r="D734" s="3"/>
      <c r="E734" s="3"/>
      <c r="F734" s="3"/>
    </row>
    <row r="735" spans="4:6" ht="12.5">
      <c r="D735" s="3"/>
      <c r="E735" s="3"/>
      <c r="F735" s="3"/>
    </row>
    <row r="736" spans="4:6" ht="12.5">
      <c r="D736" s="3"/>
      <c r="E736" s="3"/>
      <c r="F736" s="3"/>
    </row>
    <row r="737" spans="4:6" ht="12.5">
      <c r="D737" s="3"/>
      <c r="E737" s="3"/>
      <c r="F737" s="3"/>
    </row>
    <row r="738" spans="4:6" ht="12.5">
      <c r="D738" s="3"/>
      <c r="E738" s="3"/>
      <c r="F738" s="3"/>
    </row>
    <row r="739" spans="4:6" ht="12.5">
      <c r="D739" s="3"/>
      <c r="E739" s="3"/>
      <c r="F739" s="3"/>
    </row>
    <row r="740" spans="4:6" ht="12.5">
      <c r="D740" s="3"/>
      <c r="E740" s="3"/>
      <c r="F740" s="3"/>
    </row>
    <row r="741" spans="4:6" ht="12.5">
      <c r="D741" s="3"/>
      <c r="E741" s="3"/>
      <c r="F741" s="3"/>
    </row>
    <row r="742" spans="4:6" ht="12.5">
      <c r="D742" s="3"/>
      <c r="E742" s="3"/>
      <c r="F742" s="3"/>
    </row>
    <row r="743" spans="4:6" ht="12.5">
      <c r="D743" s="3"/>
      <c r="E743" s="3"/>
      <c r="F743" s="3"/>
    </row>
    <row r="744" spans="4:6" ht="12.5">
      <c r="D744" s="3"/>
      <c r="E744" s="3"/>
      <c r="F744" s="3"/>
    </row>
    <row r="745" spans="4:6" ht="12.5">
      <c r="D745" s="3"/>
      <c r="E745" s="3"/>
      <c r="F745" s="3"/>
    </row>
    <row r="746" spans="4:6" ht="12.5">
      <c r="D746" s="3"/>
      <c r="E746" s="3"/>
      <c r="F746" s="3"/>
    </row>
    <row r="747" spans="4:6" ht="12.5">
      <c r="D747" s="3"/>
      <c r="E747" s="3"/>
      <c r="F747" s="3"/>
    </row>
    <row r="748" spans="4:6" ht="12.5">
      <c r="D748" s="3"/>
      <c r="E748" s="3"/>
      <c r="F748" s="3"/>
    </row>
    <row r="749" spans="4:6" ht="12.5">
      <c r="D749" s="3"/>
      <c r="E749" s="3"/>
      <c r="F749" s="3"/>
    </row>
    <row r="750" spans="4:6" ht="12.5">
      <c r="D750" s="3"/>
      <c r="E750" s="3"/>
      <c r="F750" s="3"/>
    </row>
    <row r="751" spans="4:6" ht="12.5">
      <c r="D751" s="3"/>
      <c r="E751" s="3"/>
      <c r="F751" s="3"/>
    </row>
    <row r="752" spans="4:6" ht="12.5">
      <c r="D752" s="3"/>
      <c r="E752" s="3"/>
      <c r="F752" s="3"/>
    </row>
    <row r="753" spans="4:6" ht="12.5">
      <c r="D753" s="3"/>
      <c r="E753" s="3"/>
      <c r="F753" s="3"/>
    </row>
    <row r="754" spans="4:6" ht="12.5">
      <c r="D754" s="3"/>
      <c r="E754" s="3"/>
      <c r="F754" s="3"/>
    </row>
    <row r="755" spans="4:6" ht="12.5">
      <c r="D755" s="3"/>
      <c r="E755" s="3"/>
      <c r="F755" s="3"/>
    </row>
    <row r="756" spans="4:6" ht="12.5">
      <c r="D756" s="3"/>
      <c r="E756" s="3"/>
      <c r="F756" s="3"/>
    </row>
    <row r="757" spans="4:6" ht="12.5">
      <c r="D757" s="3"/>
      <c r="E757" s="3"/>
      <c r="F757" s="3"/>
    </row>
    <row r="758" spans="4:6" ht="12.5">
      <c r="D758" s="3"/>
      <c r="E758" s="3"/>
      <c r="F758" s="3"/>
    </row>
    <row r="759" spans="4:6" ht="12.5">
      <c r="D759" s="3"/>
      <c r="E759" s="3"/>
      <c r="F759" s="3"/>
    </row>
    <row r="760" spans="4:6" ht="12.5">
      <c r="D760" s="3"/>
      <c r="E760" s="3"/>
      <c r="F760" s="3"/>
    </row>
    <row r="761" spans="4:6" ht="12.5">
      <c r="D761" s="3"/>
      <c r="E761" s="3"/>
      <c r="F761" s="3"/>
    </row>
    <row r="762" spans="4:6" ht="12.5">
      <c r="D762" s="3"/>
      <c r="E762" s="3"/>
      <c r="F762" s="3"/>
    </row>
    <row r="763" spans="4:6" ht="12.5">
      <c r="D763" s="3"/>
      <c r="E763" s="3"/>
      <c r="F763" s="3"/>
    </row>
    <row r="764" spans="4:6" ht="12.5">
      <c r="D764" s="3"/>
      <c r="E764" s="3"/>
      <c r="F764" s="3"/>
    </row>
    <row r="765" spans="4:6" ht="12.5">
      <c r="D765" s="3"/>
      <c r="E765" s="3"/>
      <c r="F765" s="3"/>
    </row>
    <row r="766" spans="4:6" ht="12.5">
      <c r="D766" s="3"/>
      <c r="E766" s="3"/>
      <c r="F766" s="3"/>
    </row>
    <row r="767" spans="4:6" ht="12.5">
      <c r="D767" s="3"/>
      <c r="E767" s="3"/>
      <c r="F767" s="3"/>
    </row>
    <row r="768" spans="4:6" ht="12.5">
      <c r="D768" s="3"/>
      <c r="E768" s="3"/>
      <c r="F768" s="3"/>
    </row>
    <row r="769" spans="4:6" ht="12.5">
      <c r="D769" s="3"/>
      <c r="E769" s="3"/>
      <c r="F769" s="3"/>
    </row>
    <row r="770" spans="4:6" ht="12.5">
      <c r="D770" s="3"/>
      <c r="E770" s="3"/>
      <c r="F770" s="3"/>
    </row>
    <row r="771" spans="4:6" ht="12.5">
      <c r="D771" s="3"/>
      <c r="E771" s="3"/>
      <c r="F771" s="3"/>
    </row>
    <row r="772" spans="4:6" ht="12.5">
      <c r="D772" s="3"/>
      <c r="E772" s="3"/>
      <c r="F772" s="3"/>
    </row>
    <row r="773" spans="4:6" ht="12.5">
      <c r="D773" s="3"/>
      <c r="E773" s="3"/>
      <c r="F773" s="3"/>
    </row>
    <row r="774" spans="4:6" ht="12.5">
      <c r="D774" s="3"/>
      <c r="E774" s="3"/>
      <c r="F774" s="3"/>
    </row>
    <row r="775" spans="4:6" ht="12.5">
      <c r="D775" s="3"/>
      <c r="E775" s="3"/>
      <c r="F775" s="3"/>
    </row>
    <row r="776" spans="4:6" ht="12.5">
      <c r="D776" s="3"/>
      <c r="E776" s="3"/>
      <c r="F776" s="3"/>
    </row>
    <row r="777" spans="4:6" ht="12.5">
      <c r="D777" s="3"/>
      <c r="E777" s="3"/>
      <c r="F777" s="3"/>
    </row>
    <row r="778" spans="4:6" ht="12.5">
      <c r="D778" s="3"/>
      <c r="E778" s="3"/>
      <c r="F778" s="3"/>
    </row>
    <row r="779" spans="4:6" ht="12.5">
      <c r="D779" s="3"/>
      <c r="E779" s="3"/>
      <c r="F779" s="3"/>
    </row>
    <row r="780" spans="4:6" ht="12.5">
      <c r="D780" s="3"/>
      <c r="E780" s="3"/>
      <c r="F780" s="3"/>
    </row>
    <row r="781" spans="4:6" ht="12.5">
      <c r="D781" s="3"/>
      <c r="E781" s="3"/>
      <c r="F781" s="3"/>
    </row>
    <row r="782" spans="4:6" ht="12.5">
      <c r="D782" s="3"/>
      <c r="E782" s="3"/>
      <c r="F782" s="3"/>
    </row>
    <row r="783" spans="4:6" ht="12.5">
      <c r="D783" s="3"/>
      <c r="E783" s="3"/>
      <c r="F783" s="3"/>
    </row>
    <row r="784" spans="4:6" ht="12.5">
      <c r="D784" s="3"/>
      <c r="E784" s="3"/>
      <c r="F784" s="3"/>
    </row>
    <row r="785" spans="4:6" ht="12.5">
      <c r="D785" s="3"/>
      <c r="E785" s="3"/>
      <c r="F785" s="3"/>
    </row>
    <row r="786" spans="4:6" ht="12.5">
      <c r="D786" s="3"/>
      <c r="E786" s="3"/>
      <c r="F786" s="3"/>
    </row>
    <row r="787" spans="4:6" ht="12.5">
      <c r="D787" s="3"/>
      <c r="E787" s="3"/>
      <c r="F787" s="3"/>
    </row>
    <row r="788" spans="4:6" ht="12.5">
      <c r="D788" s="3"/>
      <c r="E788" s="3"/>
      <c r="F788" s="3"/>
    </row>
    <row r="789" spans="4:6" ht="12.5">
      <c r="D789" s="3"/>
      <c r="E789" s="3"/>
      <c r="F789" s="3"/>
    </row>
    <row r="790" spans="4:6" ht="12.5">
      <c r="D790" s="3"/>
      <c r="E790" s="3"/>
      <c r="F790" s="3"/>
    </row>
    <row r="791" spans="4:6" ht="12.5">
      <c r="D791" s="3"/>
      <c r="E791" s="3"/>
      <c r="F791" s="3"/>
    </row>
    <row r="792" spans="4:6" ht="12.5">
      <c r="D792" s="3"/>
      <c r="E792" s="3"/>
      <c r="F792" s="3"/>
    </row>
    <row r="793" spans="4:6" ht="12.5">
      <c r="D793" s="3"/>
      <c r="E793" s="3"/>
      <c r="F793" s="3"/>
    </row>
    <row r="794" spans="4:6" ht="12.5">
      <c r="D794" s="3"/>
      <c r="E794" s="3"/>
      <c r="F794" s="3"/>
    </row>
    <row r="795" spans="4:6" ht="12.5">
      <c r="D795" s="3"/>
      <c r="E795" s="3"/>
      <c r="F795" s="3"/>
    </row>
    <row r="796" spans="4:6" ht="12.5">
      <c r="D796" s="3"/>
      <c r="E796" s="3"/>
      <c r="F796" s="3"/>
    </row>
    <row r="797" spans="4:6" ht="12.5">
      <c r="D797" s="3"/>
      <c r="E797" s="3"/>
      <c r="F797" s="3"/>
    </row>
    <row r="798" spans="4:6" ht="12.5">
      <c r="D798" s="3"/>
      <c r="E798" s="3"/>
      <c r="F798" s="3"/>
    </row>
    <row r="799" spans="4:6" ht="12.5">
      <c r="D799" s="3"/>
      <c r="E799" s="3"/>
      <c r="F799" s="3"/>
    </row>
    <row r="800" spans="4:6" ht="12.5">
      <c r="D800" s="3"/>
      <c r="E800" s="3"/>
      <c r="F800" s="3"/>
    </row>
    <row r="801" spans="4:6" ht="12.5">
      <c r="D801" s="3"/>
      <c r="E801" s="3"/>
      <c r="F801" s="3"/>
    </row>
    <row r="802" spans="4:6" ht="12.5">
      <c r="D802" s="3"/>
      <c r="E802" s="3"/>
      <c r="F802" s="3"/>
    </row>
    <row r="803" spans="4:6" ht="12.5">
      <c r="D803" s="3"/>
      <c r="E803" s="3"/>
      <c r="F803" s="3"/>
    </row>
    <row r="804" spans="4:6" ht="12.5">
      <c r="D804" s="3"/>
      <c r="E804" s="3"/>
      <c r="F804" s="3"/>
    </row>
    <row r="805" spans="4:6" ht="12.5">
      <c r="D805" s="3"/>
      <c r="E805" s="3"/>
      <c r="F805" s="3"/>
    </row>
    <row r="806" spans="4:6" ht="12.5">
      <c r="D806" s="3"/>
      <c r="E806" s="3"/>
      <c r="F806" s="3"/>
    </row>
    <row r="807" spans="4:6" ht="12.5">
      <c r="D807" s="3"/>
      <c r="E807" s="3"/>
      <c r="F807" s="3"/>
    </row>
    <row r="808" spans="4:6" ht="12.5">
      <c r="D808" s="3"/>
      <c r="E808" s="3"/>
      <c r="F808" s="3"/>
    </row>
    <row r="809" spans="4:6" ht="12.5">
      <c r="D809" s="3"/>
      <c r="E809" s="3"/>
      <c r="F809" s="3"/>
    </row>
    <row r="810" spans="4:6" ht="12.5">
      <c r="D810" s="3"/>
      <c r="E810" s="3"/>
      <c r="F810" s="3"/>
    </row>
    <row r="811" spans="4:6" ht="12.5">
      <c r="D811" s="3"/>
      <c r="E811" s="3"/>
      <c r="F811" s="3"/>
    </row>
    <row r="812" spans="4:6" ht="12.5">
      <c r="D812" s="3"/>
      <c r="E812" s="3"/>
      <c r="F812" s="3"/>
    </row>
    <row r="813" spans="4:6" ht="12.5">
      <c r="D813" s="3"/>
      <c r="E813" s="3"/>
      <c r="F813" s="3"/>
    </row>
    <row r="814" spans="4:6" ht="12.5">
      <c r="D814" s="3"/>
      <c r="E814" s="3"/>
      <c r="F814" s="3"/>
    </row>
    <row r="815" spans="4:6" ht="12.5">
      <c r="D815" s="3"/>
      <c r="E815" s="3"/>
      <c r="F815" s="3"/>
    </row>
    <row r="816" spans="4:6" ht="12.5">
      <c r="D816" s="3"/>
      <c r="E816" s="3"/>
      <c r="F816" s="3"/>
    </row>
    <row r="817" spans="4:6" ht="12.5">
      <c r="D817" s="3"/>
      <c r="E817" s="3"/>
      <c r="F817" s="3"/>
    </row>
    <row r="818" spans="4:6" ht="12.5">
      <c r="D818" s="3"/>
      <c r="E818" s="3"/>
      <c r="F818" s="3"/>
    </row>
    <row r="819" spans="4:6" ht="12.5">
      <c r="D819" s="3"/>
      <c r="E819" s="3"/>
      <c r="F819" s="3"/>
    </row>
    <row r="820" spans="4:6" ht="12.5">
      <c r="D820" s="3"/>
      <c r="E820" s="3"/>
      <c r="F820" s="3"/>
    </row>
    <row r="821" spans="4:6" ht="12.5">
      <c r="D821" s="3"/>
      <c r="E821" s="3"/>
      <c r="F821" s="3"/>
    </row>
    <row r="822" spans="4:6" ht="12.5">
      <c r="D822" s="3"/>
      <c r="E822" s="3"/>
      <c r="F822" s="3"/>
    </row>
    <row r="823" spans="4:6" ht="12.5">
      <c r="D823" s="3"/>
      <c r="E823" s="3"/>
      <c r="F823" s="3"/>
    </row>
    <row r="824" spans="4:6" ht="12.5">
      <c r="D824" s="3"/>
      <c r="E824" s="3"/>
      <c r="F824" s="3"/>
    </row>
    <row r="825" spans="4:6" ht="12.5">
      <c r="D825" s="3"/>
      <c r="E825" s="3"/>
      <c r="F825" s="3"/>
    </row>
    <row r="826" spans="4:6" ht="12.5">
      <c r="D826" s="3"/>
      <c r="E826" s="3"/>
      <c r="F826" s="3"/>
    </row>
    <row r="827" spans="4:6" ht="12.5">
      <c r="D827" s="3"/>
      <c r="E827" s="3"/>
      <c r="F827" s="3"/>
    </row>
    <row r="828" spans="4:6" ht="12.5">
      <c r="D828" s="3"/>
      <c r="E828" s="3"/>
      <c r="F828" s="3"/>
    </row>
    <row r="829" spans="4:6" ht="12.5">
      <c r="D829" s="3"/>
      <c r="E829" s="3"/>
      <c r="F829" s="3"/>
    </row>
    <row r="830" spans="4:6" ht="12.5">
      <c r="D830" s="3"/>
      <c r="E830" s="3"/>
      <c r="F830" s="3"/>
    </row>
    <row r="831" spans="4:6" ht="12.5">
      <c r="D831" s="3"/>
      <c r="E831" s="3"/>
      <c r="F831" s="3"/>
    </row>
    <row r="832" spans="4:6" ht="12.5">
      <c r="D832" s="3"/>
      <c r="E832" s="3"/>
      <c r="F832" s="3"/>
    </row>
    <row r="833" spans="4:6" ht="12.5">
      <c r="D833" s="3"/>
      <c r="E833" s="3"/>
      <c r="F833" s="3"/>
    </row>
    <row r="834" spans="4:6" ht="12.5">
      <c r="D834" s="3"/>
      <c r="E834" s="3"/>
      <c r="F834" s="3"/>
    </row>
    <row r="835" spans="4:6" ht="12.5">
      <c r="D835" s="3"/>
      <c r="E835" s="3"/>
      <c r="F835" s="3"/>
    </row>
    <row r="836" spans="4:6" ht="12.5">
      <c r="D836" s="3"/>
      <c r="E836" s="3"/>
      <c r="F836" s="3"/>
    </row>
    <row r="837" spans="4:6" ht="12.5">
      <c r="D837" s="3"/>
      <c r="E837" s="3"/>
      <c r="F837" s="3"/>
    </row>
    <row r="838" spans="4:6" ht="12.5">
      <c r="D838" s="3"/>
      <c r="E838" s="3"/>
      <c r="F838" s="3"/>
    </row>
    <row r="839" spans="4:6" ht="12.5">
      <c r="D839" s="3"/>
      <c r="E839" s="3"/>
      <c r="F839" s="3"/>
    </row>
    <row r="840" spans="4:6" ht="12.5">
      <c r="D840" s="3"/>
      <c r="E840" s="3"/>
      <c r="F840" s="3"/>
    </row>
    <row r="841" spans="4:6" ht="12.5">
      <c r="D841" s="3"/>
      <c r="E841" s="3"/>
      <c r="F841" s="3"/>
    </row>
    <row r="842" spans="4:6" ht="12.5">
      <c r="D842" s="3"/>
      <c r="E842" s="3"/>
      <c r="F842" s="3"/>
    </row>
    <row r="843" spans="4:6" ht="12.5">
      <c r="D843" s="3"/>
      <c r="E843" s="3"/>
      <c r="F843" s="3"/>
    </row>
    <row r="844" spans="4:6" ht="12.5">
      <c r="D844" s="3"/>
      <c r="E844" s="3"/>
      <c r="F844" s="3"/>
    </row>
    <row r="845" spans="4:6" ht="12.5">
      <c r="D845" s="3"/>
      <c r="E845" s="3"/>
      <c r="F845" s="3"/>
    </row>
    <row r="846" spans="4:6" ht="12.5">
      <c r="D846" s="3"/>
      <c r="E846" s="3"/>
      <c r="F846" s="3"/>
    </row>
    <row r="847" spans="4:6" ht="12.5">
      <c r="D847" s="3"/>
      <c r="E847" s="3"/>
      <c r="F847" s="3"/>
    </row>
    <row r="848" spans="4:6" ht="12.5">
      <c r="D848" s="3"/>
      <c r="E848" s="3"/>
      <c r="F848" s="3"/>
    </row>
    <row r="849" spans="4:6" ht="12.5">
      <c r="D849" s="3"/>
      <c r="E849" s="3"/>
      <c r="F849" s="3"/>
    </row>
    <row r="850" spans="4:6" ht="12.5">
      <c r="D850" s="3"/>
      <c r="E850" s="3"/>
      <c r="F850" s="3"/>
    </row>
    <row r="851" spans="4:6" ht="12.5">
      <c r="D851" s="3"/>
      <c r="E851" s="3"/>
      <c r="F851" s="3"/>
    </row>
    <row r="852" spans="4:6" ht="12.5">
      <c r="D852" s="3"/>
      <c r="E852" s="3"/>
      <c r="F852" s="3"/>
    </row>
    <row r="853" spans="4:6" ht="12.5">
      <c r="D853" s="3"/>
      <c r="E853" s="3"/>
      <c r="F853" s="3"/>
    </row>
    <row r="854" spans="4:6" ht="12.5">
      <c r="D854" s="3"/>
      <c r="E854" s="3"/>
      <c r="F854" s="3"/>
    </row>
    <row r="855" spans="4:6" ht="12.5">
      <c r="D855" s="3"/>
      <c r="E855" s="3"/>
      <c r="F855" s="3"/>
    </row>
    <row r="856" spans="4:6" ht="12.5">
      <c r="D856" s="3"/>
      <c r="E856" s="3"/>
      <c r="F856" s="3"/>
    </row>
    <row r="857" spans="4:6" ht="12.5">
      <c r="D857" s="3"/>
      <c r="E857" s="3"/>
      <c r="F857" s="3"/>
    </row>
    <row r="858" spans="4:6" ht="12.5">
      <c r="D858" s="3"/>
      <c r="E858" s="3"/>
      <c r="F858" s="3"/>
    </row>
    <row r="859" spans="4:6" ht="12.5">
      <c r="D859" s="3"/>
      <c r="E859" s="3"/>
      <c r="F859" s="3"/>
    </row>
    <row r="860" spans="4:6" ht="12.5">
      <c r="D860" s="3"/>
      <c r="E860" s="3"/>
      <c r="F860" s="3"/>
    </row>
    <row r="861" spans="4:6" ht="12.5">
      <c r="D861" s="3"/>
      <c r="E861" s="3"/>
      <c r="F861" s="3"/>
    </row>
    <row r="862" spans="4:6" ht="12.5">
      <c r="D862" s="3"/>
      <c r="E862" s="3"/>
      <c r="F862" s="3"/>
    </row>
    <row r="863" spans="4:6" ht="12.5">
      <c r="D863" s="3"/>
      <c r="E863" s="3"/>
      <c r="F863" s="3"/>
    </row>
    <row r="864" spans="4:6" ht="12.5">
      <c r="D864" s="3"/>
      <c r="E864" s="3"/>
      <c r="F864" s="3"/>
    </row>
    <row r="865" spans="4:6" ht="12.5">
      <c r="D865" s="3"/>
      <c r="E865" s="3"/>
      <c r="F865" s="3"/>
    </row>
    <row r="866" spans="4:6" ht="12.5">
      <c r="D866" s="3"/>
      <c r="E866" s="3"/>
      <c r="F866" s="3"/>
    </row>
    <row r="867" spans="4:6" ht="12.5">
      <c r="D867" s="3"/>
      <c r="E867" s="3"/>
      <c r="F867" s="3"/>
    </row>
    <row r="868" spans="4:6" ht="12.5">
      <c r="D868" s="3"/>
      <c r="E868" s="3"/>
      <c r="F868" s="3"/>
    </row>
    <row r="869" spans="4:6" ht="12.5">
      <c r="D869" s="3"/>
      <c r="E869" s="3"/>
      <c r="F869" s="3"/>
    </row>
    <row r="870" spans="4:6" ht="12.5">
      <c r="D870" s="3"/>
      <c r="E870" s="3"/>
      <c r="F870" s="3"/>
    </row>
    <row r="871" spans="4:6" ht="12.5">
      <c r="D871" s="3"/>
      <c r="E871" s="3"/>
      <c r="F871" s="3"/>
    </row>
    <row r="872" spans="4:6" ht="12.5">
      <c r="D872" s="3"/>
      <c r="E872" s="3"/>
      <c r="F872" s="3"/>
    </row>
    <row r="873" spans="4:6" ht="12.5">
      <c r="D873" s="3"/>
      <c r="E873" s="3"/>
      <c r="F873" s="3"/>
    </row>
    <row r="874" spans="4:6" ht="12.5">
      <c r="D874" s="3"/>
      <c r="E874" s="3"/>
      <c r="F874" s="3"/>
    </row>
    <row r="875" spans="4:6" ht="12.5">
      <c r="D875" s="3"/>
      <c r="E875" s="3"/>
      <c r="F875" s="3"/>
    </row>
    <row r="876" spans="4:6" ht="12.5">
      <c r="D876" s="3"/>
      <c r="E876" s="3"/>
      <c r="F876" s="3"/>
    </row>
    <row r="877" spans="4:6" ht="12.5">
      <c r="D877" s="3"/>
      <c r="E877" s="3"/>
      <c r="F877" s="3"/>
    </row>
    <row r="878" spans="4:6" ht="12.5">
      <c r="D878" s="3"/>
      <c r="E878" s="3"/>
      <c r="F878" s="3"/>
    </row>
    <row r="879" spans="4:6" ht="12.5">
      <c r="D879" s="3"/>
      <c r="E879" s="3"/>
      <c r="F879" s="3"/>
    </row>
    <row r="880" spans="4:6" ht="12.5">
      <c r="D880" s="3"/>
      <c r="E880" s="3"/>
      <c r="F880" s="3"/>
    </row>
    <row r="881" spans="4:6" ht="12.5">
      <c r="D881" s="3"/>
      <c r="E881" s="3"/>
      <c r="F881" s="3"/>
    </row>
    <row r="882" spans="4:6" ht="12.5">
      <c r="D882" s="3"/>
      <c r="E882" s="3"/>
      <c r="F882" s="3"/>
    </row>
    <row r="883" spans="4:6" ht="12.5">
      <c r="D883" s="3"/>
      <c r="E883" s="3"/>
      <c r="F883" s="3"/>
    </row>
    <row r="884" spans="4:6" ht="12.5">
      <c r="D884" s="3"/>
      <c r="E884" s="3"/>
      <c r="F884" s="3"/>
    </row>
    <row r="885" spans="4:6" ht="12.5">
      <c r="D885" s="3"/>
      <c r="E885" s="3"/>
      <c r="F885" s="3"/>
    </row>
    <row r="886" spans="4:6" ht="12.5">
      <c r="D886" s="3"/>
      <c r="E886" s="3"/>
      <c r="F886" s="3"/>
    </row>
    <row r="887" spans="4:6" ht="12.5">
      <c r="D887" s="3"/>
      <c r="E887" s="3"/>
      <c r="F887" s="3"/>
    </row>
    <row r="888" spans="4:6" ht="12.5">
      <c r="D888" s="3"/>
      <c r="E888" s="3"/>
      <c r="F888" s="3"/>
    </row>
    <row r="889" spans="4:6" ht="12.5">
      <c r="D889" s="3"/>
      <c r="E889" s="3"/>
      <c r="F889" s="3"/>
    </row>
    <row r="890" spans="4:6" ht="12.5">
      <c r="D890" s="3"/>
      <c r="E890" s="3"/>
      <c r="F890" s="3"/>
    </row>
    <row r="891" spans="4:6" ht="12.5">
      <c r="D891" s="3"/>
      <c r="E891" s="3"/>
      <c r="F891" s="3"/>
    </row>
    <row r="892" spans="4:6" ht="12.5">
      <c r="D892" s="3"/>
      <c r="E892" s="3"/>
      <c r="F892" s="3"/>
    </row>
    <row r="893" spans="4:6" ht="12.5">
      <c r="D893" s="3"/>
      <c r="E893" s="3"/>
      <c r="F893" s="3"/>
    </row>
    <row r="894" spans="4:6" ht="12.5">
      <c r="D894" s="3"/>
      <c r="E894" s="3"/>
      <c r="F894" s="3"/>
    </row>
    <row r="895" spans="4:6" ht="12.5">
      <c r="D895" s="3"/>
      <c r="E895" s="3"/>
      <c r="F895" s="3"/>
    </row>
    <row r="896" spans="4:6" ht="12.5">
      <c r="D896" s="3"/>
      <c r="E896" s="3"/>
      <c r="F896" s="3"/>
    </row>
    <row r="897" spans="4:6" ht="12.5">
      <c r="D897" s="3"/>
      <c r="E897" s="3"/>
      <c r="F897" s="3"/>
    </row>
    <row r="898" spans="4:6" ht="12.5">
      <c r="D898" s="3"/>
      <c r="E898" s="3"/>
      <c r="F898" s="3"/>
    </row>
    <row r="899" spans="4:6" ht="12.5">
      <c r="D899" s="3"/>
      <c r="E899" s="3"/>
      <c r="F899" s="3"/>
    </row>
    <row r="900" spans="4:6" ht="12.5">
      <c r="D900" s="3"/>
      <c r="E900" s="3"/>
      <c r="F900" s="3"/>
    </row>
    <row r="901" spans="4:6" ht="12.5">
      <c r="D901" s="3"/>
      <c r="E901" s="3"/>
      <c r="F901" s="3"/>
    </row>
    <row r="902" spans="4:6" ht="12.5">
      <c r="D902" s="3"/>
      <c r="E902" s="3"/>
      <c r="F902" s="3"/>
    </row>
    <row r="903" spans="4:6" ht="12.5">
      <c r="D903" s="3"/>
      <c r="E903" s="3"/>
      <c r="F903" s="3"/>
    </row>
    <row r="904" spans="4:6" ht="12.5">
      <c r="D904" s="3"/>
      <c r="E904" s="3"/>
      <c r="F904" s="3"/>
    </row>
    <row r="905" spans="4:6" ht="12.5">
      <c r="D905" s="3"/>
      <c r="E905" s="3"/>
      <c r="F905" s="3"/>
    </row>
    <row r="906" spans="4:6" ht="12.5">
      <c r="D906" s="3"/>
      <c r="E906" s="3"/>
      <c r="F906" s="3"/>
    </row>
    <row r="907" spans="4:6" ht="12.5">
      <c r="D907" s="3"/>
      <c r="E907" s="3"/>
      <c r="F907" s="3"/>
    </row>
    <row r="908" spans="4:6" ht="12.5">
      <c r="D908" s="3"/>
      <c r="E908" s="3"/>
      <c r="F908" s="3"/>
    </row>
    <row r="909" spans="4:6" ht="12.5">
      <c r="D909" s="3"/>
      <c r="E909" s="3"/>
      <c r="F909" s="3"/>
    </row>
    <row r="910" spans="4:6" ht="12.5">
      <c r="D910" s="3"/>
      <c r="E910" s="3"/>
      <c r="F910" s="3"/>
    </row>
    <row r="911" spans="4:6" ht="12.5">
      <c r="D911" s="3"/>
      <c r="E911" s="3"/>
      <c r="F911" s="3"/>
    </row>
    <row r="912" spans="4:6" ht="12.5">
      <c r="D912" s="3"/>
      <c r="E912" s="3"/>
      <c r="F912" s="3"/>
    </row>
    <row r="913" spans="4:6" ht="12.5">
      <c r="D913" s="3"/>
      <c r="E913" s="3"/>
      <c r="F913" s="3"/>
    </row>
    <row r="914" spans="4:6" ht="12.5">
      <c r="D914" s="3"/>
      <c r="E914" s="3"/>
      <c r="F914" s="3"/>
    </row>
    <row r="915" spans="4:6" ht="12.5">
      <c r="D915" s="3"/>
      <c r="E915" s="3"/>
      <c r="F915" s="3"/>
    </row>
    <row r="916" spans="4:6" ht="12.5">
      <c r="D916" s="3"/>
      <c r="E916" s="3"/>
      <c r="F916" s="3"/>
    </row>
    <row r="917" spans="4:6" ht="12.5">
      <c r="D917" s="3"/>
      <c r="E917" s="3"/>
      <c r="F917" s="3"/>
    </row>
    <row r="918" spans="4:6" ht="12.5">
      <c r="D918" s="3"/>
      <c r="E918" s="3"/>
      <c r="F918" s="3"/>
    </row>
    <row r="919" spans="4:6" ht="12.5">
      <c r="D919" s="3"/>
      <c r="E919" s="3"/>
      <c r="F919" s="3"/>
    </row>
    <row r="920" spans="4:6" ht="12.5">
      <c r="D920" s="3"/>
      <c r="E920" s="3"/>
      <c r="F920" s="3"/>
    </row>
    <row r="921" spans="4:6" ht="12.5">
      <c r="D921" s="3"/>
      <c r="E921" s="3"/>
      <c r="F921" s="3"/>
    </row>
    <row r="922" spans="4:6" ht="12.5">
      <c r="D922" s="3"/>
      <c r="E922" s="3"/>
      <c r="F922" s="3"/>
    </row>
    <row r="923" spans="4:6" ht="12.5">
      <c r="D923" s="3"/>
      <c r="E923" s="3"/>
      <c r="F923" s="3"/>
    </row>
    <row r="924" spans="4:6" ht="12.5">
      <c r="D924" s="3"/>
      <c r="E924" s="3"/>
      <c r="F924" s="3"/>
    </row>
    <row r="925" spans="4:6" ht="12.5">
      <c r="D925" s="3"/>
      <c r="E925" s="3"/>
      <c r="F925" s="3"/>
    </row>
    <row r="926" spans="4:6" ht="12.5">
      <c r="D926" s="3"/>
      <c r="E926" s="3"/>
      <c r="F926" s="3"/>
    </row>
    <row r="927" spans="4:6" ht="12.5">
      <c r="D927" s="3"/>
      <c r="E927" s="3"/>
      <c r="F927" s="3"/>
    </row>
    <row r="928" spans="4:6" ht="12.5">
      <c r="D928" s="3"/>
      <c r="E928" s="3"/>
      <c r="F928" s="3"/>
    </row>
    <row r="929" spans="4:6" ht="12.5">
      <c r="D929" s="3"/>
      <c r="E929" s="3"/>
      <c r="F929" s="3"/>
    </row>
    <row r="930" spans="4:6" ht="12.5">
      <c r="D930" s="3"/>
      <c r="E930" s="3"/>
      <c r="F930" s="3"/>
    </row>
    <row r="931" spans="4:6" ht="12.5">
      <c r="D931" s="3"/>
      <c r="E931" s="3"/>
      <c r="F931" s="3"/>
    </row>
    <row r="932" spans="4:6" ht="12.5">
      <c r="D932" s="3"/>
      <c r="E932" s="3"/>
      <c r="F932" s="3"/>
    </row>
    <row r="933" spans="4:6" ht="12.5">
      <c r="D933" s="3"/>
      <c r="E933" s="3"/>
      <c r="F933" s="3"/>
    </row>
    <row r="934" spans="4:6" ht="12.5">
      <c r="D934" s="3"/>
      <c r="E934" s="3"/>
      <c r="F934" s="3"/>
    </row>
    <row r="935" spans="4:6" ht="12.5">
      <c r="D935" s="3"/>
      <c r="E935" s="3"/>
      <c r="F935" s="3"/>
    </row>
    <row r="936" spans="4:6" ht="12.5">
      <c r="D936" s="3"/>
      <c r="E936" s="3"/>
      <c r="F936" s="3"/>
    </row>
    <row r="937" spans="4:6" ht="12.5">
      <c r="D937" s="3"/>
      <c r="E937" s="3"/>
      <c r="F937" s="3"/>
    </row>
    <row r="938" spans="4:6" ht="12.5">
      <c r="D938" s="3"/>
      <c r="E938" s="3"/>
      <c r="F938" s="3"/>
    </row>
    <row r="939" spans="4:6" ht="12.5">
      <c r="D939" s="3"/>
      <c r="E939" s="3"/>
      <c r="F939" s="3"/>
    </row>
    <row r="940" spans="4:6" ht="12.5">
      <c r="D940" s="3"/>
      <c r="E940" s="3"/>
      <c r="F940" s="3"/>
    </row>
    <row r="941" spans="4:6" ht="12.5">
      <c r="D941" s="3"/>
      <c r="E941" s="3"/>
      <c r="F941" s="3"/>
    </row>
    <row r="942" spans="4:6" ht="12.5">
      <c r="D942" s="3"/>
      <c r="E942" s="3"/>
      <c r="F942" s="3"/>
    </row>
    <row r="943" spans="4:6" ht="12.5">
      <c r="D943" s="3"/>
      <c r="E943" s="3"/>
      <c r="F943" s="3"/>
    </row>
    <row r="944" spans="4:6" ht="12.5">
      <c r="D944" s="3"/>
      <c r="E944" s="3"/>
      <c r="F944" s="3"/>
    </row>
    <row r="945" spans="4:6" ht="12.5">
      <c r="D945" s="3"/>
      <c r="E945" s="3"/>
      <c r="F945" s="3"/>
    </row>
    <row r="946" spans="4:6" ht="12.5">
      <c r="D946" s="3"/>
      <c r="E946" s="3"/>
      <c r="F946" s="3"/>
    </row>
    <row r="947" spans="4:6" ht="12.5">
      <c r="D947" s="3"/>
      <c r="E947" s="3"/>
      <c r="F947" s="3"/>
    </row>
    <row r="948" spans="4:6" ht="12.5">
      <c r="D948" s="3"/>
      <c r="E948" s="3"/>
      <c r="F948" s="3"/>
    </row>
    <row r="949" spans="4:6" ht="12.5">
      <c r="D949" s="3"/>
      <c r="E949" s="3"/>
      <c r="F949" s="3"/>
    </row>
    <row r="950" spans="4:6" ht="12.5">
      <c r="D950" s="3"/>
      <c r="E950" s="3"/>
      <c r="F950" s="3"/>
    </row>
    <row r="951" spans="4:6" ht="12.5">
      <c r="D951" s="3"/>
      <c r="E951" s="3"/>
      <c r="F951" s="3"/>
    </row>
    <row r="952" spans="4:6" ht="12.5">
      <c r="D952" s="3"/>
      <c r="E952" s="3"/>
      <c r="F952" s="3"/>
    </row>
    <row r="953" spans="4:6" ht="12.5">
      <c r="D953" s="3"/>
      <c r="E953" s="3"/>
      <c r="F953" s="3"/>
    </row>
    <row r="954" spans="4:6" ht="12.5">
      <c r="D954" s="3"/>
      <c r="E954" s="3"/>
      <c r="F954" s="3"/>
    </row>
    <row r="955" spans="4:6" ht="12.5">
      <c r="D955" s="3"/>
      <c r="E955" s="3"/>
      <c r="F955" s="3"/>
    </row>
    <row r="956" spans="4:6" ht="12.5">
      <c r="D956" s="3"/>
      <c r="E956" s="3"/>
      <c r="F956" s="3"/>
    </row>
    <row r="957" spans="4:6" ht="12.5">
      <c r="D957" s="3"/>
      <c r="E957" s="3"/>
      <c r="F957" s="3"/>
    </row>
    <row r="958" spans="4:6" ht="12.5">
      <c r="D958" s="3"/>
      <c r="E958" s="3"/>
      <c r="F958" s="3"/>
    </row>
    <row r="959" spans="4:6" ht="12.5">
      <c r="D959" s="3"/>
      <c r="E959" s="3"/>
      <c r="F959" s="3"/>
    </row>
    <row r="960" spans="4:6" ht="12.5">
      <c r="D960" s="3"/>
      <c r="E960" s="3"/>
      <c r="F960" s="3"/>
    </row>
    <row r="961" spans="4:6" ht="12.5">
      <c r="D961" s="3"/>
      <c r="E961" s="3"/>
      <c r="F961" s="3"/>
    </row>
    <row r="962" spans="4:6" ht="12.5">
      <c r="D962" s="3"/>
      <c r="E962" s="3"/>
      <c r="F962" s="3"/>
    </row>
    <row r="963" spans="4:6" ht="12.5">
      <c r="D963" s="3"/>
      <c r="E963" s="3"/>
      <c r="F963" s="3"/>
    </row>
    <row r="964" spans="4:6" ht="12.5">
      <c r="D964" s="3"/>
      <c r="E964" s="3"/>
      <c r="F964" s="3"/>
    </row>
    <row r="965" spans="4:6" ht="12.5">
      <c r="D965" s="3"/>
      <c r="E965" s="3"/>
      <c r="F965" s="3"/>
    </row>
    <row r="966" spans="4:6" ht="12.5">
      <c r="D966" s="3"/>
      <c r="E966" s="3"/>
      <c r="F966" s="3"/>
    </row>
    <row r="967" spans="4:6" ht="12.5">
      <c r="D967" s="3"/>
      <c r="E967" s="3"/>
      <c r="F967" s="3"/>
    </row>
    <row r="968" spans="4:6" ht="12.5">
      <c r="D968" s="3"/>
      <c r="E968" s="3"/>
      <c r="F968" s="3"/>
    </row>
    <row r="969" spans="4:6" ht="12.5">
      <c r="D969" s="3"/>
      <c r="E969" s="3"/>
      <c r="F969" s="3"/>
    </row>
    <row r="970" spans="4:6" ht="12.5">
      <c r="D970" s="3"/>
      <c r="E970" s="3"/>
      <c r="F970" s="3"/>
    </row>
    <row r="971" spans="4:6" ht="12.5">
      <c r="D971" s="3"/>
      <c r="E971" s="3"/>
      <c r="F971" s="3"/>
    </row>
    <row r="972" spans="4:6" ht="12.5">
      <c r="D972" s="3"/>
      <c r="E972" s="3"/>
      <c r="F972" s="3"/>
    </row>
    <row r="973" spans="4:6" ht="12.5">
      <c r="D973" s="3"/>
      <c r="E973" s="3"/>
      <c r="F973" s="3"/>
    </row>
    <row r="974" spans="4:6" ht="12.5">
      <c r="D974" s="3"/>
      <c r="E974" s="3"/>
      <c r="F974" s="3"/>
    </row>
    <row r="975" spans="4:6" ht="12.5">
      <c r="D975" s="3"/>
      <c r="E975" s="3"/>
      <c r="F975" s="3"/>
    </row>
    <row r="976" spans="4:6" ht="12.5">
      <c r="D976" s="3"/>
      <c r="E976" s="3"/>
      <c r="F976" s="3"/>
    </row>
    <row r="977" spans="4:6" ht="12.5">
      <c r="D977" s="3"/>
      <c r="E977" s="3"/>
      <c r="F977" s="3"/>
    </row>
    <row r="978" spans="4:6" ht="12.5">
      <c r="D978" s="3"/>
      <c r="E978" s="3"/>
      <c r="F978" s="3"/>
    </row>
    <row r="979" spans="4:6" ht="12.5">
      <c r="D979" s="3"/>
      <c r="E979" s="3"/>
      <c r="F979" s="3"/>
    </row>
    <row r="980" spans="4:6" ht="12.5">
      <c r="D980" s="3"/>
      <c r="E980" s="3"/>
      <c r="F980" s="3"/>
    </row>
    <row r="981" spans="4:6" ht="12.5">
      <c r="D981" s="3"/>
      <c r="E981" s="3"/>
      <c r="F981" s="3"/>
    </row>
    <row r="982" spans="4:6" ht="12.5">
      <c r="D982" s="3"/>
      <c r="E982" s="3"/>
      <c r="F982" s="3"/>
    </row>
    <row r="983" spans="4:6" ht="12.5">
      <c r="D983" s="3"/>
      <c r="E983" s="3"/>
      <c r="F983" s="3"/>
    </row>
    <row r="984" spans="4:6" ht="12.5">
      <c r="D984" s="3"/>
      <c r="E984" s="3"/>
      <c r="F984" s="3"/>
    </row>
    <row r="985" spans="4:6" ht="12.5">
      <c r="D985" s="3"/>
      <c r="E985" s="3"/>
      <c r="F985" s="3"/>
    </row>
    <row r="986" spans="4:6" ht="12.5">
      <c r="D986" s="3"/>
      <c r="E986" s="3"/>
      <c r="F986" s="3"/>
    </row>
    <row r="987" spans="4:6" ht="12.5">
      <c r="D987" s="3"/>
      <c r="E987" s="3"/>
      <c r="F987" s="3"/>
    </row>
    <row r="988" spans="4:6" ht="12.5">
      <c r="D988" s="3"/>
      <c r="E988" s="3"/>
      <c r="F988" s="3"/>
    </row>
    <row r="989" spans="4:6" ht="12.5">
      <c r="D989" s="3"/>
      <c r="E989" s="3"/>
      <c r="F989" s="3"/>
    </row>
    <row r="990" spans="4:6" ht="12.5">
      <c r="D990" s="3"/>
      <c r="E990" s="3"/>
      <c r="F990" s="3"/>
    </row>
    <row r="991" spans="4:6" ht="12.5">
      <c r="D991" s="3"/>
      <c r="E991" s="3"/>
      <c r="F991" s="3"/>
    </row>
    <row r="992" spans="4:6" ht="12.5">
      <c r="D992" s="3"/>
      <c r="E992" s="3"/>
      <c r="F992" s="3"/>
    </row>
    <row r="993" spans="4:6" ht="12.5">
      <c r="D993" s="3"/>
      <c r="E993" s="3"/>
      <c r="F993" s="3"/>
    </row>
    <row r="994" spans="4:6" ht="12.5">
      <c r="D994" s="3"/>
      <c r="E994" s="3"/>
      <c r="F994" s="3"/>
    </row>
    <row r="995" spans="4:6" ht="12.5">
      <c r="D995" s="3"/>
      <c r="E995" s="3"/>
      <c r="F995" s="3"/>
    </row>
    <row r="996" spans="4:6" ht="12.5">
      <c r="D996" s="3"/>
      <c r="E996" s="3"/>
      <c r="F996" s="3"/>
    </row>
    <row r="997" spans="4:6" ht="12.5">
      <c r="D997" s="3"/>
      <c r="E997" s="3"/>
      <c r="F997" s="3"/>
    </row>
    <row r="998" spans="4:6" ht="12.5">
      <c r="D998" s="3"/>
      <c r="E998" s="3"/>
      <c r="F998" s="3"/>
    </row>
    <row r="999" spans="4:6" ht="12.5">
      <c r="D999" s="3"/>
      <c r="E999" s="3"/>
      <c r="F999" s="3"/>
    </row>
    <row r="1000" spans="4:6" ht="12.5">
      <c r="D1000" s="3"/>
      <c r="E1000" s="3"/>
      <c r="F1000" s="3"/>
    </row>
  </sheetData>
  <mergeCells count="3">
    <mergeCell ref="D86:F86"/>
    <mergeCell ref="D202:F202"/>
    <mergeCell ref="D238:F238"/>
  </mergeCells>
  <dataValidations count="1">
    <dataValidation type="custom" allowBlank="1" showDropDown="1" sqref="A2:A253" xr:uid="{00000000-0002-0000-0100-000000000000}">
      <formula1>AND(ISNUMBER(A2),(NOT(OR(NOT(ISERROR(DATEVALUE(A2))), AND(ISNUMBER(A2), LEFT(CELL("format", A2))="D")))))</formula1>
    </dataValidation>
  </dataValidations>
  <hyperlinks>
    <hyperlink ref="C2" r:id="rId1" xr:uid="{00000000-0004-0000-0100-000000000000}"/>
    <hyperlink ref="C6" r:id="rId2" xr:uid="{00000000-0004-0000-0100-000001000000}"/>
    <hyperlink ref="C10" r:id="rId3" xr:uid="{00000000-0004-0000-0100-000002000000}"/>
    <hyperlink ref="C14" r:id="rId4" xr:uid="{00000000-0004-0000-0100-000003000000}"/>
    <hyperlink ref="C18" r:id="rId5" xr:uid="{00000000-0004-0000-0100-000004000000}"/>
    <hyperlink ref="C22" r:id="rId6" xr:uid="{00000000-0004-0000-0100-000005000000}"/>
    <hyperlink ref="C26" r:id="rId7" xr:uid="{00000000-0004-0000-0100-000006000000}"/>
    <hyperlink ref="C30" r:id="rId8" xr:uid="{00000000-0004-0000-0100-000007000000}"/>
    <hyperlink ref="C34" r:id="rId9" xr:uid="{00000000-0004-0000-0100-000008000000}"/>
    <hyperlink ref="C38" r:id="rId10" xr:uid="{00000000-0004-0000-0100-000009000000}"/>
    <hyperlink ref="C42" r:id="rId11" xr:uid="{00000000-0004-0000-0100-00000A000000}"/>
    <hyperlink ref="C46" r:id="rId12" xr:uid="{00000000-0004-0000-0100-00000B000000}"/>
    <hyperlink ref="C50" r:id="rId13" xr:uid="{00000000-0004-0000-0100-00000C000000}"/>
    <hyperlink ref="C54" r:id="rId14" xr:uid="{00000000-0004-0000-0100-00000D000000}"/>
    <hyperlink ref="C58" r:id="rId15" xr:uid="{00000000-0004-0000-0100-00000E000000}"/>
    <hyperlink ref="C62" r:id="rId16" xr:uid="{00000000-0004-0000-0100-00000F000000}"/>
    <hyperlink ref="C66" r:id="rId17" xr:uid="{00000000-0004-0000-0100-000010000000}"/>
    <hyperlink ref="C70" r:id="rId18" xr:uid="{00000000-0004-0000-0100-000011000000}"/>
    <hyperlink ref="C74" r:id="rId19" xr:uid="{00000000-0004-0000-0100-000012000000}"/>
    <hyperlink ref="C78" r:id="rId20" xr:uid="{00000000-0004-0000-0100-000013000000}"/>
    <hyperlink ref="C82" r:id="rId21" xr:uid="{00000000-0004-0000-0100-000014000000}"/>
    <hyperlink ref="C86" r:id="rId22" xr:uid="{00000000-0004-0000-0100-000015000000}"/>
    <hyperlink ref="C90" r:id="rId23" xr:uid="{00000000-0004-0000-0100-000016000000}"/>
    <hyperlink ref="C94" r:id="rId24" xr:uid="{00000000-0004-0000-0100-000017000000}"/>
    <hyperlink ref="C98" r:id="rId25" xr:uid="{00000000-0004-0000-0100-000018000000}"/>
    <hyperlink ref="C102" r:id="rId26" xr:uid="{00000000-0004-0000-0100-000019000000}"/>
    <hyperlink ref="C106" r:id="rId27" xr:uid="{00000000-0004-0000-0100-00001A000000}"/>
    <hyperlink ref="C110" r:id="rId28" xr:uid="{00000000-0004-0000-0100-00001B000000}"/>
    <hyperlink ref="C114" r:id="rId29" xr:uid="{00000000-0004-0000-0100-00001C000000}"/>
    <hyperlink ref="C118" r:id="rId30" xr:uid="{00000000-0004-0000-0100-00001D000000}"/>
    <hyperlink ref="C122" r:id="rId31" xr:uid="{00000000-0004-0000-0100-00001E000000}"/>
    <hyperlink ref="C126" r:id="rId32" xr:uid="{00000000-0004-0000-0100-00001F000000}"/>
    <hyperlink ref="C130" r:id="rId33" xr:uid="{00000000-0004-0000-0100-000020000000}"/>
    <hyperlink ref="C134" r:id="rId34" xr:uid="{00000000-0004-0000-0100-000021000000}"/>
    <hyperlink ref="C138" r:id="rId35" xr:uid="{00000000-0004-0000-0100-000022000000}"/>
    <hyperlink ref="C142" r:id="rId36" xr:uid="{00000000-0004-0000-0100-000023000000}"/>
    <hyperlink ref="C146" r:id="rId37" xr:uid="{00000000-0004-0000-0100-000024000000}"/>
    <hyperlink ref="C150" r:id="rId38" xr:uid="{00000000-0004-0000-0100-000025000000}"/>
    <hyperlink ref="C154" r:id="rId39" xr:uid="{00000000-0004-0000-0100-000026000000}"/>
    <hyperlink ref="C158" r:id="rId40" xr:uid="{00000000-0004-0000-0100-000027000000}"/>
    <hyperlink ref="C162" r:id="rId41" xr:uid="{00000000-0004-0000-0100-000028000000}"/>
    <hyperlink ref="C166" r:id="rId42" xr:uid="{00000000-0004-0000-0100-000029000000}"/>
    <hyperlink ref="C170" r:id="rId43" xr:uid="{00000000-0004-0000-0100-00002A000000}"/>
    <hyperlink ref="C174" r:id="rId44" xr:uid="{00000000-0004-0000-0100-00002B000000}"/>
    <hyperlink ref="C178" r:id="rId45" xr:uid="{00000000-0004-0000-0100-00002C000000}"/>
    <hyperlink ref="C182" r:id="rId46" xr:uid="{00000000-0004-0000-0100-00002D000000}"/>
    <hyperlink ref="C186" r:id="rId47" xr:uid="{00000000-0004-0000-0100-00002E000000}"/>
    <hyperlink ref="C190" r:id="rId48" xr:uid="{00000000-0004-0000-0100-00002F000000}"/>
    <hyperlink ref="C194" r:id="rId49" xr:uid="{00000000-0004-0000-0100-000030000000}"/>
    <hyperlink ref="C198" r:id="rId50" xr:uid="{00000000-0004-0000-0100-000031000000}"/>
    <hyperlink ref="C202" r:id="rId51" xr:uid="{00000000-0004-0000-0100-000032000000}"/>
    <hyperlink ref="C206" r:id="rId52" xr:uid="{00000000-0004-0000-0100-000033000000}"/>
    <hyperlink ref="C210" r:id="rId53" xr:uid="{00000000-0004-0000-0100-000034000000}"/>
    <hyperlink ref="C214" r:id="rId54" xr:uid="{00000000-0004-0000-0100-000035000000}"/>
    <hyperlink ref="C218" r:id="rId55" xr:uid="{00000000-0004-0000-0100-000036000000}"/>
    <hyperlink ref="C222" r:id="rId56" xr:uid="{00000000-0004-0000-0100-000037000000}"/>
    <hyperlink ref="C226" r:id="rId57" xr:uid="{00000000-0004-0000-0100-000038000000}"/>
    <hyperlink ref="C230" r:id="rId58" xr:uid="{00000000-0004-0000-0100-000039000000}"/>
    <hyperlink ref="C234" r:id="rId59" xr:uid="{00000000-0004-0000-0100-00003A000000}"/>
    <hyperlink ref="C238" r:id="rId60" xr:uid="{00000000-0004-0000-0100-00003B000000}"/>
    <hyperlink ref="C242" r:id="rId61" xr:uid="{00000000-0004-0000-0100-00003C000000}"/>
    <hyperlink ref="C246" r:id="rId62" xr:uid="{00000000-0004-0000-0100-00003D000000}"/>
    <hyperlink ref="C250" r:id="rId63" xr:uid="{00000000-0004-0000-0100-00003E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19"/>
  <sheetViews>
    <sheetView zoomScale="115" zoomScaleNormal="115" workbookViewId="0">
      <selection activeCell="F14" sqref="F14"/>
    </sheetView>
  </sheetViews>
  <sheetFormatPr baseColWidth="10" defaultColWidth="12.6328125" defaultRowHeight="15.75" customHeight="1"/>
  <cols>
    <col min="1" max="1" width="10.26953125" customWidth="1"/>
    <col min="2" max="2" width="9.453125" bestFit="1" customWidth="1"/>
    <col min="3" max="3" width="42.81640625" bestFit="1" customWidth="1"/>
    <col min="4" max="4" width="17.08984375" bestFit="1" customWidth="1"/>
    <col min="5" max="5" width="20.08984375" bestFit="1" customWidth="1"/>
    <col min="6" max="6" width="23.08984375" bestFit="1" customWidth="1"/>
    <col min="7" max="7" width="16.453125" bestFit="1" customWidth="1"/>
    <col min="8" max="8" width="13.81640625" bestFit="1" customWidth="1"/>
    <col min="9" max="9" width="58" bestFit="1" customWidth="1"/>
  </cols>
  <sheetData>
    <row r="1" spans="1:7" ht="18.5" customHeight="1" thickBot="1">
      <c r="A1" s="80" t="s">
        <v>5</v>
      </c>
      <c r="B1" s="81" t="s">
        <v>2</v>
      </c>
      <c r="C1" s="81" t="s">
        <v>3</v>
      </c>
      <c r="D1" s="82" t="s">
        <v>9</v>
      </c>
      <c r="E1" s="82" t="s">
        <v>7</v>
      </c>
      <c r="F1" s="82" t="s">
        <v>225</v>
      </c>
      <c r="G1" s="87" t="s">
        <v>228</v>
      </c>
    </row>
    <row r="2" spans="1:7" ht="16" customHeight="1">
      <c r="A2" s="71" t="s">
        <v>222</v>
      </c>
      <c r="B2" s="79">
        <v>1</v>
      </c>
      <c r="C2" s="79" t="s">
        <v>13</v>
      </c>
      <c r="D2" s="79">
        <v>8.8000000000000007</v>
      </c>
      <c r="E2" s="79">
        <v>9</v>
      </c>
      <c r="F2" s="79">
        <f>(D2+E2)/2</f>
        <v>8.9</v>
      </c>
      <c r="G2" s="71">
        <f>SUM(F2:F6)</f>
        <v>21.400000000000002</v>
      </c>
    </row>
    <row r="3" spans="1:7" ht="16" customHeight="1">
      <c r="A3" s="73"/>
      <c r="B3" s="88">
        <v>2</v>
      </c>
      <c r="C3" s="88" t="s">
        <v>29</v>
      </c>
      <c r="D3" s="88">
        <v>3.6</v>
      </c>
      <c r="E3" s="88">
        <v>3.6</v>
      </c>
      <c r="F3" s="89">
        <f t="shared" ref="F3:G16" si="0">(D3+E3)/2</f>
        <v>3.6</v>
      </c>
      <c r="G3" s="73"/>
    </row>
    <row r="4" spans="1:7" ht="16" customHeight="1">
      <c r="A4" s="73"/>
      <c r="B4" s="56">
        <v>3</v>
      </c>
      <c r="C4" s="56" t="s">
        <v>16</v>
      </c>
      <c r="D4" s="56">
        <v>2.2000000000000002</v>
      </c>
      <c r="E4" s="56">
        <v>3</v>
      </c>
      <c r="F4" s="79">
        <f t="shared" si="0"/>
        <v>2.6</v>
      </c>
      <c r="G4" s="73"/>
    </row>
    <row r="5" spans="1:7" ht="16" customHeight="1">
      <c r="A5" s="73"/>
      <c r="B5" s="88">
        <v>4</v>
      </c>
      <c r="C5" s="88" t="s">
        <v>25</v>
      </c>
      <c r="D5" s="88">
        <v>3.9</v>
      </c>
      <c r="E5" s="88">
        <v>4.0999999999999996</v>
      </c>
      <c r="F5" s="89">
        <f t="shared" si="0"/>
        <v>4</v>
      </c>
      <c r="G5" s="73"/>
    </row>
    <row r="6" spans="1:7" ht="16" customHeight="1">
      <c r="A6" s="73"/>
      <c r="B6" s="56">
        <v>5</v>
      </c>
      <c r="C6" s="56" t="s">
        <v>44</v>
      </c>
      <c r="D6" s="56">
        <v>2.2000000000000002</v>
      </c>
      <c r="E6" s="56">
        <v>2.4</v>
      </c>
      <c r="F6" s="79">
        <f t="shared" si="0"/>
        <v>2.2999999999999998</v>
      </c>
      <c r="G6" s="73"/>
    </row>
    <row r="7" spans="1:7" ht="16" customHeight="1">
      <c r="A7" s="74" t="s">
        <v>223</v>
      </c>
      <c r="B7" s="72">
        <v>1</v>
      </c>
      <c r="C7" s="84" t="s">
        <v>13</v>
      </c>
      <c r="D7" s="72">
        <v>1.2</v>
      </c>
      <c r="E7" s="72">
        <f>900/1000</f>
        <v>0.9</v>
      </c>
      <c r="F7" s="84">
        <f t="shared" si="0"/>
        <v>1.05</v>
      </c>
      <c r="G7" s="74">
        <f t="shared" ref="G7" si="1">SUM(F7:F11)</f>
        <v>33.65</v>
      </c>
    </row>
    <row r="8" spans="1:7" ht="16" customHeight="1">
      <c r="A8" s="74"/>
      <c r="B8" s="90">
        <v>2</v>
      </c>
      <c r="C8" s="90" t="s">
        <v>29</v>
      </c>
      <c r="D8" s="90">
        <v>10.8</v>
      </c>
      <c r="E8" s="90">
        <v>11</v>
      </c>
      <c r="F8" s="91">
        <f t="shared" si="0"/>
        <v>10.9</v>
      </c>
      <c r="G8" s="74"/>
    </row>
    <row r="9" spans="1:7" ht="16" customHeight="1">
      <c r="A9" s="74"/>
      <c r="B9" s="72">
        <v>3</v>
      </c>
      <c r="C9" s="72" t="s">
        <v>16</v>
      </c>
      <c r="D9" s="72">
        <v>7.7</v>
      </c>
      <c r="E9" s="72">
        <v>6</v>
      </c>
      <c r="F9" s="84">
        <f t="shared" si="0"/>
        <v>6.85</v>
      </c>
      <c r="G9" s="74"/>
    </row>
    <row r="10" spans="1:7" ht="16" customHeight="1">
      <c r="A10" s="74"/>
      <c r="B10" s="90">
        <v>4</v>
      </c>
      <c r="C10" s="90" t="s">
        <v>25</v>
      </c>
      <c r="D10" s="90">
        <v>8.6</v>
      </c>
      <c r="E10" s="90">
        <v>8.8000000000000007</v>
      </c>
      <c r="F10" s="91">
        <f t="shared" si="0"/>
        <v>8.6999999999999993</v>
      </c>
      <c r="G10" s="74"/>
    </row>
    <row r="11" spans="1:7" ht="16" customHeight="1">
      <c r="A11" s="74"/>
      <c r="B11" s="72">
        <v>5</v>
      </c>
      <c r="C11" s="72" t="s">
        <v>44</v>
      </c>
      <c r="D11" s="72">
        <v>6.4</v>
      </c>
      <c r="E11" s="72">
        <v>5.9</v>
      </c>
      <c r="F11" s="84">
        <f t="shared" si="0"/>
        <v>6.15</v>
      </c>
      <c r="G11" s="74"/>
    </row>
    <row r="12" spans="1:7" ht="16" customHeight="1">
      <c r="A12" s="73" t="s">
        <v>224</v>
      </c>
      <c r="B12" s="56">
        <v>1</v>
      </c>
      <c r="C12" s="79" t="s">
        <v>13</v>
      </c>
      <c r="D12" s="56">
        <v>8.1</v>
      </c>
      <c r="E12" s="56">
        <v>8</v>
      </c>
      <c r="F12" s="79">
        <f t="shared" si="0"/>
        <v>8.0500000000000007</v>
      </c>
      <c r="G12" s="73">
        <f t="shared" ref="G12" si="2">SUM(F12:F16)</f>
        <v>21.799999999999997</v>
      </c>
    </row>
    <row r="13" spans="1:7" ht="16" customHeight="1">
      <c r="A13" s="73"/>
      <c r="B13" s="88">
        <v>2</v>
      </c>
      <c r="C13" s="88" t="s">
        <v>29</v>
      </c>
      <c r="D13" s="88">
        <v>3.6</v>
      </c>
      <c r="E13" s="88">
        <v>4</v>
      </c>
      <c r="F13" s="89">
        <f t="shared" si="0"/>
        <v>3.8</v>
      </c>
      <c r="G13" s="73"/>
    </row>
    <row r="14" spans="1:7" ht="16" customHeight="1">
      <c r="A14" s="73"/>
      <c r="B14" s="56">
        <v>3</v>
      </c>
      <c r="C14" s="56" t="s">
        <v>16</v>
      </c>
      <c r="D14" s="56">
        <v>3.1</v>
      </c>
      <c r="E14" s="56">
        <v>2.8</v>
      </c>
      <c r="F14" s="79">
        <f t="shared" si="0"/>
        <v>2.95</v>
      </c>
      <c r="G14" s="73"/>
    </row>
    <row r="15" spans="1:7" ht="16" customHeight="1">
      <c r="A15" s="73"/>
      <c r="B15" s="88">
        <v>4</v>
      </c>
      <c r="C15" s="88" t="s">
        <v>25</v>
      </c>
      <c r="D15" s="88">
        <v>5.2</v>
      </c>
      <c r="E15" s="88">
        <v>5.5</v>
      </c>
      <c r="F15" s="89">
        <f t="shared" si="0"/>
        <v>5.35</v>
      </c>
      <c r="G15" s="73"/>
    </row>
    <row r="16" spans="1:7" ht="16" customHeight="1">
      <c r="A16" s="73"/>
      <c r="B16" s="56">
        <v>5</v>
      </c>
      <c r="C16" s="56" t="s">
        <v>44</v>
      </c>
      <c r="D16" s="56">
        <v>1.6</v>
      </c>
      <c r="E16" s="56">
        <v>1.7</v>
      </c>
      <c r="F16" s="79">
        <f t="shared" si="0"/>
        <v>1.65</v>
      </c>
      <c r="G16" s="73"/>
    </row>
    <row r="18" spans="3:6" ht="15.75" customHeight="1">
      <c r="C18" s="85" t="s">
        <v>19</v>
      </c>
      <c r="D18" s="86" t="s">
        <v>226</v>
      </c>
      <c r="E18" s="86"/>
      <c r="F18" s="86"/>
    </row>
    <row r="19" spans="3:6" ht="15.75" customHeight="1">
      <c r="C19" s="85" t="s">
        <v>33</v>
      </c>
      <c r="D19" s="86" t="s">
        <v>227</v>
      </c>
      <c r="E19" s="86"/>
      <c r="F19" s="86"/>
    </row>
  </sheetData>
  <mergeCells count="8">
    <mergeCell ref="D19:F19"/>
    <mergeCell ref="G2:G6"/>
    <mergeCell ref="G7:G11"/>
    <mergeCell ref="G12:G16"/>
    <mergeCell ref="A2:A6"/>
    <mergeCell ref="A7:A11"/>
    <mergeCell ref="A12:A16"/>
    <mergeCell ref="D18:F18"/>
  </mergeCells>
  <phoneticPr fontId="4" type="noConversion"/>
  <dataValidations disablePrompts="1" count="1">
    <dataValidation type="custom" allowBlank="1" showDropDown="1" sqref="A2 A7 A12" xr:uid="{00000000-0002-0000-0200-000000000000}">
      <formula1>AND(ISNUMBER(A2),(NOT(OR(NOT(ISERROR(DATEVALUE(A2))), AND(ISNUMBER(A2), LEFT(CELL("format", A2))="D")))))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Lista de Sucursales</vt:lpstr>
      <vt:lpstr>Bloques de Sucursales</vt:lpstr>
      <vt:lpstr>Candidatos</vt:lpstr>
      <vt:lpstr>Distancias de Farmacias Vecinas</vt:lpstr>
      <vt:lpstr>Distancias de Candidatos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 ADRIAN GALVÁN HERRERA</cp:lastModifiedBy>
  <dcterms:modified xsi:type="dcterms:W3CDTF">2026-09-19T13:52:09Z</dcterms:modified>
</cp:coreProperties>
</file>